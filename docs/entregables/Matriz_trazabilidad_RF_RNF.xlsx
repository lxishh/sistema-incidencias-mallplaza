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Matriz RF" sheetId="2" state="visible" r:id="rId4"/>
    <sheet name="Matriz RNF" sheetId="3" state="visible" r:id="rId5"/>
    <sheet name="Casos de uso" sheetId="4" state="visible" r:id="rId6"/>
    <sheet name="Pauta" sheetId="5" state="visible" r:id="rId7"/>
    <sheet name="Discrepancias" sheetId="6" state="visible" r:id="rId8"/>
    <sheet name="Casos de prueba" sheetId="7" state="visible" r:id="rId9"/>
    <sheet name="Metodologías" sheetId="8" state="visible" r:id="rId10"/>
    <sheet name="Tecnologías" sheetId="9" state="visible" r:id="rId11"/>
    <sheet name="Factibilidad económica" sheetId="10" state="visible" r:id="rId12"/>
  </sheets>
  <definedNames>
    <definedName function="false" hidden="true" localSheetId="6" name="_xlnm._FilterDatabase" vbProcedure="false">'Casos de prueba'!$A$4:$N$68</definedName>
    <definedName function="false" hidden="true" localSheetId="1" name="_xlnm._FilterDatabase" vbProcedure="false">'Matriz RF'!$A$4:$I$44</definedName>
    <definedName function="false" hidden="true" localSheetId="2" name="_xlnm._FilterDatabase" vbProcedure="false">'Matriz RNF'!$A$4:$G$18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<sst xmlns="http://schemas.openxmlformats.org/spreadsheetml/2006/main" count="1706" uniqueCount="973">
  <si>
    <t xml:space="preserve">Resumen de cumplimiento — Sistema de Gestión y Trazabilidad de Incidencias (Mallplaza Copiapó)</t>
  </si>
  <si>
    <t xml:space="preserve">Estado al 10 de octubre de 2026, según el repositorio y la suite de 33 pruebas. Los totales se calculan con fórmulas a partir de las hojas 'Matriz RF' y 'Matriz RNF'.</t>
  </si>
  <si>
    <t xml:space="preserve">Estado</t>
  </si>
  <si>
    <t xml:space="preserve">RF (cantidad)</t>
  </si>
  <si>
    <t xml:space="preserve">RF (%)</t>
  </si>
  <si>
    <t xml:space="preserve">RNF (cantidad)</t>
  </si>
  <si>
    <t xml:space="preserve">RNF (%)</t>
  </si>
  <si>
    <t xml:space="preserve">Casos de prueba</t>
  </si>
  <si>
    <t xml:space="preserve">Cantidad</t>
  </si>
  <si>
    <t xml:space="preserve">Implementado y probado</t>
  </si>
  <si>
    <t xml:space="preserve">Aprobado</t>
  </si>
  <si>
    <t xml:space="preserve">Implementado</t>
  </si>
  <si>
    <t xml:space="preserve">Observación</t>
  </si>
  <si>
    <t xml:space="preserve">Parcial</t>
  </si>
  <si>
    <t xml:space="preserve">Por ejecutar</t>
  </si>
  <si>
    <t xml:space="preserve">Mock</t>
  </si>
  <si>
    <t xml:space="preserve">Bloqueado (funcionalidad pendiente)</t>
  </si>
  <si>
    <t xml:space="preserve">Pendiente</t>
  </si>
  <si>
    <t xml:space="preserve">Total</t>
  </si>
  <si>
    <t xml:space="preserve">Diseñado (no desplegado)</t>
  </si>
  <si>
    <t xml:space="preserve">RF con funcionalidad construida (Implementado y probado + Implementado)</t>
  </si>
  <si>
    <t xml:space="preserve">RF con avance parcial, mock o pendientes</t>
  </si>
  <si>
    <t xml:space="preserve">RF por prioridad MoSCoW y estado (clasificación del Informe 1)</t>
  </si>
  <si>
    <t xml:space="preserve">MoSCoW</t>
  </si>
  <si>
    <t xml:space="preserve">Construidos</t>
  </si>
  <si>
    <t xml:space="preserve">Parciales o mock</t>
  </si>
  <si>
    <t xml:space="preserve">Pendientes</t>
  </si>
  <si>
    <t xml:space="preserve">Must have</t>
  </si>
  <si>
    <t xml:space="preserve">Should have</t>
  </si>
  <si>
    <t xml:space="preserve">Could have</t>
  </si>
  <si>
    <t xml:space="preserve">Sin clasificar</t>
  </si>
  <si>
    <t xml:space="preserve">Cómo leer los estados</t>
  </si>
  <si>
    <t xml:space="preserve">Implementado y probado: existe en el código y una prueba automatizada lo verifica.</t>
  </si>
  <si>
    <t xml:space="preserve">Implementado: existe en el código, sin prueba específica o con verificación pendiente de un detalle.</t>
  </si>
  <si>
    <t xml:space="preserve">Parcial: existe una parte (por ejemplo la base de datos o la interfaz) pero falta otra o falta validación externa.</t>
  </si>
  <si>
    <t xml:space="preserve">Mock: simulado; no se comunica con el sistema real. Pendiente: no existe.</t>
  </si>
  <si>
    <t xml:space="preserve">Diseñado (no desplegado): solo aplica a RNF de infraestructura; se verifica al desplegar.</t>
  </si>
  <si>
    <t xml:space="preserve">Un 'Implementado y probado' no significa aceptación del cliente: no ha habido UAT con Mallplaza.</t>
  </si>
  <si>
    <t xml:space="preserve">Matriz de trazabilidad — Requerimientos funcionales (40 RF)</t>
  </si>
  <si>
    <t xml:space="preserve">Fuente de los RF: catálogo entregado por el equipo. Evidencia: repositorio lxishh/sistema-incidencias-mallplaza, rama feature/S1-demo-qr, con la suite de 33 pruebas verificada el 10-oct-2026. La columna MoSCoW proviene del Informe 1 (que tenía 35 RF); RF-36 a RF-40 aún no tienen clasificación.</t>
  </si>
  <si>
    <t xml:space="preserve">ID</t>
  </si>
  <si>
    <t xml:space="preserve">Módulo</t>
  </si>
  <si>
    <t xml:space="preserve">Requerimiento (resumen)</t>
  </si>
  <si>
    <t xml:space="preserve">Caso(s) de uso</t>
  </si>
  <si>
    <t xml:space="preserve">Componente o evidencia en el repositorio</t>
  </si>
  <si>
    <t xml:space="preserve">Prueba automatizada</t>
  </si>
  <si>
    <t xml:space="preserve">Observación o brecha</t>
  </si>
  <si>
    <t xml:space="preserve">RF-01</t>
  </si>
  <si>
    <t xml:space="preserve">Autenticación</t>
  </si>
  <si>
    <t xml:space="preserve">Inicio de sesión con correo y contraseña, exclusivo para Jefatura</t>
  </si>
  <si>
    <t xml:space="preserve">CU-01</t>
  </si>
  <si>
    <t xml:space="preserve">backend/src/routes/auth.js (POST /api/auth/login); tabla usuarios con rol JEFATURA</t>
  </si>
  <si>
    <t xml:space="preserve">integration.test.js › autenticación</t>
  </si>
  <si>
    <t xml:space="preserve">RF-02</t>
  </si>
  <si>
    <t xml:space="preserve">Cola de incidencias y dashboard solo para Jefatura autenticada</t>
  </si>
  <si>
    <t xml:space="preserve">CU-09, CU-13</t>
  </si>
  <si>
    <t xml:space="preserve">backend/src/middleware/auth.js aplicado a GET /api/incidencias y /api/dashboard/kpis</t>
  </si>
  <si>
    <t xml:space="preserve">integration.test.js › autenticación (protege /me), dashboard KPI (protege el endpoint)</t>
  </si>
  <si>
    <t xml:space="preserve">RF-03</t>
  </si>
  <si>
    <t xml:space="preserve">Cierre de sesión</t>
  </si>
  <si>
    <t xml:space="preserve">CU-02</t>
  </si>
  <si>
    <t xml:space="preserve">POST /api/auth/logout</t>
  </si>
  <si>
    <t xml:space="preserve">integration.test.js › autenticación (inicia y cierra sesión)</t>
  </si>
  <si>
    <t xml:space="preserve">Pendiente revisar con herramientas del navegador un ERR_ABORTED observado en logout (tarea T6).</t>
  </si>
  <si>
    <t xml:space="preserve">RF-04</t>
  </si>
  <si>
    <t xml:space="preserve">Reporte (QR)</t>
  </si>
  <si>
    <t xml:space="preserve">Acceso al formulario mediante QR abierto, sin login</t>
  </si>
  <si>
    <t xml:space="preserve">CU-03</t>
  </si>
  <si>
    <t xml:space="preserve">Ruta pública /#/report; backend/src/utils/qr.js y scripts/generate-demo-qr.js (QR de demostración con la URL de la app)</t>
  </si>
  <si>
    <t xml:space="preserve">qr.test.js (6 pruebas de formato del QR)</t>
  </si>
  <si>
    <t xml:space="preserve">El QR actual codifica la URL y la ruta es pública. Falta probar la lectura en iPhone y Android. Hay que resolver el conflicto con el documento arquitectónico (QR restringido al personal interno): ver hoja Discrepancias.</t>
  </si>
  <si>
    <t xml:space="preserve">RF-05</t>
  </si>
  <si>
    <t xml:space="preserve">Seleccionar ubicación/zona desde una lista predefinida</t>
  </si>
  <si>
    <t xml:space="preserve">CU-04</t>
  </si>
  <si>
    <t xml:space="preserve">GET /api/catalogos; select en el formulario (frontend/src/main.js)</t>
  </si>
  <si>
    <t xml:space="preserve">integration.test.js › incidencias</t>
  </si>
  <si>
    <t xml:space="preserve">El Informe 1 define 'Ubicación' como tres categorías de tránsito (Alto, Medio, Bajo), que el operario elige de una lista; eso es lo implementado. El catálogo habla de 'ubicación/zona': confirmar con el cliente si bastan las tres categorías o se necesitan zonas físicas (decisión D4).</t>
  </si>
  <si>
    <t xml:space="preserve">RF-06</t>
  </si>
  <si>
    <t xml:space="preserve">RUT del operario como texto obligatorio (identificador de responsabilidad)</t>
  </si>
  <si>
    <t xml:space="preserve">Validación zod en routes/incidencias.js; columna rut_operario</t>
  </si>
  <si>
    <t xml:space="preserve">integration.test.js › incidencias; filters.test.js (RUT)</t>
  </si>
  <si>
    <t xml:space="preserve">El RUT no se expone en la lista ni en los logs; sí en el detalle autenticado.</t>
  </si>
  <si>
    <t xml:space="preserve">RF-07</t>
  </si>
  <si>
    <t xml:space="preserve">Seleccionar tipo de falla (Eléctrica, Sanitaria/Agua, Estructural, Estética/Confort, Mobiliario)</t>
  </si>
  <si>
    <t xml:space="preserve">Catálogo en GET /api/catalogos; enum en validación y esquema</t>
  </si>
  <si>
    <t xml:space="preserve">integration.test.js › incidencias; filters.test.js</t>
  </si>
  <si>
    <t xml:space="preserve">RF-08</t>
  </si>
  <si>
    <t xml:space="preserve">Indicar impacto operativo (Sí/No), obligatorio</t>
  </si>
  <si>
    <t xml:space="preserve">Validación zod; columna impacto_operativo</t>
  </si>
  <si>
    <t xml:space="preserve">rules.test.js; integration.test.js › incidencias</t>
  </si>
  <si>
    <t xml:space="preserve">RF-09</t>
  </si>
  <si>
    <t xml:space="preserve">Indicar riesgo de accidente (Sí/No), obligatorio</t>
  </si>
  <si>
    <t xml:space="preserve">Validación zod; columna riesgo_accidente</t>
  </si>
  <si>
    <t xml:space="preserve">RF-10</t>
  </si>
  <si>
    <t xml:space="preserve">Indicar si afecta a terceros (Sí/No), obligatorio</t>
  </si>
  <si>
    <t xml:space="preserve">Validación zod; columna afecta_terceros</t>
  </si>
  <si>
    <t xml:space="preserve">RF-11</t>
  </si>
  <si>
    <t xml:space="preserve">Comentario o descripción libre, opcional</t>
  </si>
  <si>
    <t xml:space="preserve">Campo comentario en formulario, validación y esquema</t>
  </si>
  <si>
    <t xml:space="preserve">Cubierto indirectamente en integration.test.js › incidencias</t>
  </si>
  <si>
    <t xml:space="preserve">Sin prueba específica del campo opcional.</t>
  </si>
  <si>
    <t xml:space="preserve">RF-12</t>
  </si>
  <si>
    <t xml:space="preserve">Adjuntar de 1 a 3 fotografías (cámara o galería), de forma opcional</t>
  </si>
  <si>
    <t xml:space="preserve">CU-05</t>
  </si>
  <si>
    <t xml:space="preserve">Tabla evidencias_fotograficas en el esquema; sin endpoint ni interfaz de carga</t>
  </si>
  <si>
    <t xml:space="preserve">—</t>
  </si>
  <si>
    <t xml:space="preserve">El requisito es ambiguo: es 'opcional' pero exige 'mínimo 1'. Interpretación propuesta: 0 fotos, o entre 1 y 3. Confirmar con el cliente. Faltan además política de retención y quién ve las fotos.</t>
  </si>
  <si>
    <t xml:space="preserve">RF-13</t>
  </si>
  <si>
    <t xml:space="preserve">Validar que la evidencia tenga entre 1 y 3 fotografías antes de enviar</t>
  </si>
  <si>
    <t xml:space="preserve">Solo restricción en el esquema de base de datos</t>
  </si>
  <si>
    <t xml:space="preserve">Falta la validación en API y en la interfaz.</t>
  </si>
  <si>
    <t xml:space="preserve">RF-14</t>
  </si>
  <si>
    <t xml:space="preserve">Validar que los campos obligatorios estén completos antes de enviar</t>
  </si>
  <si>
    <t xml:space="preserve">Validación zod en el servidor; atributo required en el formulario</t>
  </si>
  <si>
    <t xml:space="preserve">RF-15</t>
  </si>
  <si>
    <t xml:space="preserve">Registrar fecha y hora de creación automáticamente</t>
  </si>
  <si>
    <t xml:space="preserve">Columna fecha_creacion con valor por defecto en la base</t>
  </si>
  <si>
    <t xml:space="preserve">integration.test.js › incidencias (borde de fecha en America/Santiago)</t>
  </si>
  <si>
    <t xml:space="preserve">RF-16</t>
  </si>
  <si>
    <t xml:space="preserve">Motor de reglas</t>
  </si>
  <si>
    <t xml:space="preserve">Asignar prioridad (Crítica, Alta, Media, Baja) con árbol de decisión determinista</t>
  </si>
  <si>
    <t xml:space="preserve">CU-06</t>
  </si>
  <si>
    <t xml:space="preserve">backend/src/rules/prioridad.js</t>
  </si>
  <si>
    <t xml:space="preserve">rules.test.js (24 combinaciones)</t>
  </si>
  <si>
    <t xml:space="preserve">RF-17</t>
  </si>
  <si>
    <t xml:space="preserve">Aplicar las reglas en orden de severidad, deteniéndose en la primera que se cumpla</t>
  </si>
  <si>
    <t xml:space="preserve">backend/src/rules/prioridad.js (orden de las condiciones)</t>
  </si>
  <si>
    <t xml:space="preserve">rules.test.js (precedencia)</t>
  </si>
  <si>
    <t xml:space="preserve">RF-18</t>
  </si>
  <si>
    <t xml:space="preserve">Almacenar la prioridad junto con la incidencia</t>
  </si>
  <si>
    <t xml:space="preserve">INSERT en routes/incidencias.js; columna prioridad</t>
  </si>
  <si>
    <t xml:space="preserve">RF-19</t>
  </si>
  <si>
    <t xml:space="preserve">Gestión</t>
  </si>
  <si>
    <t xml:space="preserve">Jefatura cambia el estado (Pendiente → En proceso → Resuelta)</t>
  </si>
  <si>
    <t xml:space="preserve">CU-12</t>
  </si>
  <si>
    <t xml:space="preserve">PATCH /api/incidencias/:id/estado</t>
  </si>
  <si>
    <t xml:space="preserve">integration.test.js › incidencias (avanza con historial)</t>
  </si>
  <si>
    <t xml:space="preserve">RF-20</t>
  </si>
  <si>
    <t xml:space="preserve">Registrar fecha y hora de cierre al marcar Resuelta</t>
  </si>
  <si>
    <t xml:space="preserve">Columna fecha_cierre y restricciones del esquema</t>
  </si>
  <si>
    <t xml:space="preserve">RF-21</t>
  </si>
  <si>
    <t xml:space="preserve">Impedir Resuelta si no pasó por En proceso</t>
  </si>
  <si>
    <t xml:space="preserve">Restricciones de estado en db/schema.sql y respuesta 409 de la API</t>
  </si>
  <si>
    <t xml:space="preserve">integration.test.js › incidencias; migration.test.js</t>
  </si>
  <si>
    <t xml:space="preserve">RF-22</t>
  </si>
  <si>
    <t xml:space="preserve">Consultar el historial completo de una incidencia</t>
  </si>
  <si>
    <t xml:space="preserve">CU-11</t>
  </si>
  <si>
    <t xml:space="preserve">GET /api/incidencias/:id (historial_estados ordenado por fecha)</t>
  </si>
  <si>
    <t xml:space="preserve">RF-23</t>
  </si>
  <si>
    <t xml:space="preserve">Filtrar por estado</t>
  </si>
  <si>
    <t xml:space="preserve">CU-10</t>
  </si>
  <si>
    <t xml:space="preserve">GET /api/incidencias?estado=; barra de filtros</t>
  </si>
  <si>
    <t xml:space="preserve">filters.test.js; integration.test.js › incidencias</t>
  </si>
  <si>
    <t xml:space="preserve">RF-24</t>
  </si>
  <si>
    <t xml:space="preserve">Filtrar por prioridad</t>
  </si>
  <si>
    <t xml:space="preserve">GET /api/incidencias?prioridad=</t>
  </si>
  <si>
    <t xml:space="preserve">RF-25</t>
  </si>
  <si>
    <t xml:space="preserve">Filtrar por ubicación</t>
  </si>
  <si>
    <t xml:space="preserve">GET /api/incidencias?ubicacion=</t>
  </si>
  <si>
    <t xml:space="preserve">Hoy filtra por nivel de tránsito; cambiará si RF-05 pasa a zonas.</t>
  </si>
  <si>
    <t xml:space="preserve">RF-26</t>
  </si>
  <si>
    <t xml:space="preserve">Filtrar por tipo de falla</t>
  </si>
  <si>
    <t xml:space="preserve">GET /api/incidencias?tipo_falla=</t>
  </si>
  <si>
    <t xml:space="preserve">RF-27</t>
  </si>
  <si>
    <t xml:space="preserve">Buscar una incidencia por su identificador</t>
  </si>
  <si>
    <t xml:space="preserve">GET /api/incidencias?q=&lt;id&gt;; campo 'Buscar por ID'</t>
  </si>
  <si>
    <t xml:space="preserve">filters.test.js</t>
  </si>
  <si>
    <t xml:space="preserve">RF-28</t>
  </si>
  <si>
    <t xml:space="preserve">Dashboard y KPI</t>
  </si>
  <si>
    <t xml:space="preserve">Calcular y mostrar el MTTR</t>
  </si>
  <si>
    <t xml:space="preserve">CU-13</t>
  </si>
  <si>
    <t xml:space="preserve">backend/src/routes/dashboard.js (GET /api/dashboard/kpis)</t>
  </si>
  <si>
    <t xml:space="preserve">integration.test.js › dashboard KPI</t>
  </si>
  <si>
    <t xml:space="preserve">RF-29</t>
  </si>
  <si>
    <t xml:space="preserve">Cantidad de incidencias por prioridad</t>
  </si>
  <si>
    <t xml:space="preserve">dashboard.js (por_prioridad)</t>
  </si>
  <si>
    <t xml:space="preserve">RF-30</t>
  </si>
  <si>
    <t xml:space="preserve">Cantidad de incidencias por tipo de falla</t>
  </si>
  <si>
    <t xml:space="preserve">dashboard.js (por_tipo_falla)</t>
  </si>
  <si>
    <t xml:space="preserve">RF-31</t>
  </si>
  <si>
    <t xml:space="preserve">Cantidad de incidencias por ubicación</t>
  </si>
  <si>
    <t xml:space="preserve">dashboard.js (por_ubicacion)</t>
  </si>
  <si>
    <t xml:space="preserve">RF-32</t>
  </si>
  <si>
    <t xml:space="preserve">Filtrar los indicadores por rango de fechas</t>
  </si>
  <si>
    <t xml:space="preserve">dashboard.js (desde, hasta)</t>
  </si>
  <si>
    <t xml:space="preserve">integration.test.js › dashboard KPI (rechaza rangos inválidos); borde de fecha</t>
  </si>
  <si>
    <t xml:space="preserve">RF-33</t>
  </si>
  <si>
    <t xml:space="preserve">Acceso móvil</t>
  </si>
  <si>
    <t xml:space="preserve">Cola ordenada por prioridad desde móvil, sin diferencias con escritorio</t>
  </si>
  <si>
    <t xml:space="preserve">CU-09</t>
  </si>
  <si>
    <t xml:space="preserve">ORDER BY prioridad, fecha_creacion en la API; PWA responsiva (viewport, 3 media queries)</t>
  </si>
  <si>
    <t xml:space="preserve">Orden por prioridad implementado. Falta verificar en celulares reales y ampliar el diseño responsivo.</t>
  </si>
  <si>
    <t xml:space="preserve">RF-34</t>
  </si>
  <si>
    <t xml:space="preserve">Cambiar el estado de una incidencia desde móvil</t>
  </si>
  <si>
    <t xml:space="preserve">Misma interfaz que escritorio</t>
  </si>
  <si>
    <t xml:space="preserve">Falta verificarlo en celulares reales.</t>
  </si>
  <si>
    <t xml:space="preserve">RF-35</t>
  </si>
  <si>
    <t xml:space="preserve">Almacenar y visualizar la evidencia fotográfica en el detalle</t>
  </si>
  <si>
    <t xml:space="preserve">CU-05, CU-11</t>
  </si>
  <si>
    <t xml:space="preserve">Tabla evidencias_fotograficas; sin carga ni visualización</t>
  </si>
  <si>
    <t xml:space="preserve">Depende de RF-12. Falta decidir almacenamiento (local o S3) y control de acceso.</t>
  </si>
  <si>
    <t xml:space="preserve">RF-36</t>
  </si>
  <si>
    <t xml:space="preserve">Integración Casa Central</t>
  </si>
  <si>
    <t xml:space="preserve">Enviar (POST JSON) prioridad, ubicación y tipo de falla a Casa Central</t>
  </si>
  <si>
    <t xml:space="preserve">CU-07</t>
  </si>
  <si>
    <t xml:space="preserve">backend/src/integrations/casaCentralClient.js (mock)</t>
  </si>
  <si>
    <t xml:space="preserve">integrations.test.js › CasaCentralClient mock</t>
  </si>
  <si>
    <t xml:space="preserve">No existe el POST real. El contrato técnico (autenticación, payload, sandbox) está pendiente con TI de Mallplaza.</t>
  </si>
  <si>
    <t xml:space="preserve">RF-37</t>
  </si>
  <si>
    <t xml:space="preserve">Recibir y guardar el id de Orden de Trabajo devuelto por Casa Central</t>
  </si>
  <si>
    <t xml:space="preserve">Columna id_externo_mallplaza y restricción del esquema (ENVIADO exige id)</t>
  </si>
  <si>
    <t xml:space="preserve">migration.test.js (esquema)</t>
  </si>
  <si>
    <t xml:space="preserve">El almacenamiento existe; la recepción real depende de RF-36.</t>
  </si>
  <si>
    <t xml:space="preserve">RF-38</t>
  </si>
  <si>
    <t xml:space="preserve">Bitácora de auditoría de cada intento (timestamp y código HTTP)</t>
  </si>
  <si>
    <t xml:space="preserve">CU-07, CU-08</t>
  </si>
  <si>
    <t xml:space="preserve">backend/src/integrations/auditoriaApi.js; tabla log_auditoria_api</t>
  </si>
  <si>
    <t xml:space="preserve">integration.test.js › auditoría de Casa Central (cuatro resultados)</t>
  </si>
  <si>
    <t xml:space="preserve">El mecanismo está probado; aún no lo invoca un flujo real de envío.</t>
  </si>
  <si>
    <t xml:space="preserve">RF-39</t>
  </si>
  <si>
    <t xml:space="preserve">Reintentos asíncronos con cola si falla o expira la conexión</t>
  </si>
  <si>
    <t xml:space="preserve">CU-08</t>
  </si>
  <si>
    <t xml:space="preserve">El alta deja estado_sync = PENDIENTE_SINC; no existe worker ni cola</t>
  </si>
  <si>
    <t xml:space="preserve">Fase de sincronización pendiente.</t>
  </si>
  <si>
    <t xml:space="preserve">RF-40</t>
  </si>
  <si>
    <t xml:space="preserve">Ver en el Dashboard el estado de sincronización de cada incidencia</t>
  </si>
  <si>
    <t xml:space="preserve">CU-14</t>
  </si>
  <si>
    <t xml:space="preserve">dashboard.js (por_estado_sync); estado_sync en lista y detalle</t>
  </si>
  <si>
    <t xml:space="preserve">Verificar que la cola muestre el estado por incidencia con etiquetas legibles ('Enviado', 'Pendiente de sincronización', 'Error de envío').</t>
  </si>
  <si>
    <t xml:space="preserve">Matriz de trazabilidad — Requerimientos no funcionales (14 RNF)</t>
  </si>
  <si>
    <t xml:space="preserve">RNF-02 y RNF-07 se verifican al desplegar en AWS con HTTPS; en el prototipo local figuran como 'Diseñado (no desplegado)', no como incumplidos.</t>
  </si>
  <si>
    <t xml:space="preserve">Categoría</t>
  </si>
  <si>
    <t xml:space="preserve">Requisito (resumen)</t>
  </si>
  <si>
    <t xml:space="preserve">Componente o evidencia</t>
  </si>
  <si>
    <t xml:space="preserve">RNF-01</t>
  </si>
  <si>
    <t xml:space="preserve">Usabilidad</t>
  </si>
  <si>
    <t xml:space="preserve">Aplicación web responsiva (PWA), sin app nativa</t>
  </si>
  <si>
    <t xml:space="preserve">frontend/vite.config.js (manifest y service worker con vite-plugin-pwa)</t>
  </si>
  <si>
    <t xml:space="preserve">Build verificado (precache generado)</t>
  </si>
  <si>
    <t xml:space="preserve">Instalación y uso sin conexión no probados en dispositivos reales.</t>
  </si>
  <si>
    <t xml:space="preserve">RNF-02</t>
  </si>
  <si>
    <t xml:space="preserve">Disponibilidad</t>
  </si>
  <si>
    <t xml:space="preserve">Operar en AWS con alta disponibilidad</t>
  </si>
  <si>
    <t xml:space="preserve">docs/procesos-y-arquitectura.md (infraestructura objetivo)</t>
  </si>
  <si>
    <t xml:space="preserve">No hay VPC, Elastic Beanstalk ni RDS desplegados; el prototipo corre local con Docker.</t>
  </si>
  <si>
    <t xml:space="preserve">RNF-03</t>
  </si>
  <si>
    <t xml:space="preserve">Identidad visual alineada con Mallplaza</t>
  </si>
  <si>
    <t xml:space="preserve">frontend/src/styles.css y manifest (color de tema rojo)</t>
  </si>
  <si>
    <t xml:space="preserve">Estilo propio con color rojo aproximado; falta validar con la guía de marca.</t>
  </si>
  <si>
    <t xml:space="preserve">RNF-04</t>
  </si>
  <si>
    <t xml:space="preserve">Rendimiento</t>
  </si>
  <si>
    <t xml:space="preserve">Formulario con respuesta ≤ 3 s en condiciones normales</t>
  </si>
  <si>
    <t xml:space="preserve">Sin medición. Medir con pruebas de rendimiento en un entorno parecido a producción.</t>
  </si>
  <si>
    <t xml:space="preserve">RNF-05</t>
  </si>
  <si>
    <t xml:space="preserve">Seguridad</t>
  </si>
  <si>
    <t xml:space="preserve">Cola y dashboard protegidos y restringidos a Jefatura</t>
  </si>
  <si>
    <t xml:space="preserve">middleware/auth.js; rutas protegidas</t>
  </si>
  <si>
    <t xml:space="preserve">integration.test.js › autenticación y dashboard KPI</t>
  </si>
  <si>
    <t xml:space="preserve">RNF-06</t>
  </si>
  <si>
    <t xml:space="preserve">Contraseñas cifradas (bcrypt)</t>
  </si>
  <si>
    <t xml:space="preserve">backend/src/routes/auth.js; usuario semilla con bcrypt</t>
  </si>
  <si>
    <t xml:space="preserve">RNF-07</t>
  </si>
  <si>
    <t xml:space="preserve">Comunicación por HTTPS con TLS 1.2 o superior</t>
  </si>
  <si>
    <t xml:space="preserve">Diseño en docs; el entorno local usa HTTP</t>
  </si>
  <si>
    <t xml:space="preserve">Se podrá verificar al desplegar con certificado. Además la cámara en PWA exige HTTPS.</t>
  </si>
  <si>
    <t xml:space="preserve">RNF-08</t>
  </si>
  <si>
    <t xml:space="preserve">Datos</t>
  </si>
  <si>
    <t xml:space="preserve">Propiedades ACID en registro de incidencias y auditoría</t>
  </si>
  <si>
    <t xml:space="preserve">PostgreSQL; transacción BEGIN/COMMIT en el cambio de estado; restricciones y triggers en el esquema</t>
  </si>
  <si>
    <t xml:space="preserve">Cubierto por el motor y las pruebas de integración; sin prueba específica de atomicidad.</t>
  </si>
  <si>
    <t xml:space="preserve">RNF-09</t>
  </si>
  <si>
    <t xml:space="preserve">Soportar el uso concurrente del personal operativo sin degradación</t>
  </si>
  <si>
    <t xml:space="preserve">Límites de tasa configurables (RATE_LIMIT_*)</t>
  </si>
  <si>
    <t xml:space="preserve">Falta definir el volumen esperado y hacer pruebas de carga.</t>
  </si>
  <si>
    <t xml:space="preserve">RNF-10</t>
  </si>
  <si>
    <t xml:space="preserve">Cumplimiento</t>
  </si>
  <si>
    <t xml:space="preserve">Cumplir la Ley 21.719 en el tratamiento del RUT y otros datos</t>
  </si>
  <si>
    <t xml:space="preserve">RUT fuera de logs (logger con redacción) y fuera de la lista; solo visible en detalle autenticado</t>
  </si>
  <si>
    <t xml:space="preserve">logger.test.js; integration.test.js › protección de datos en logs</t>
  </si>
  <si>
    <t xml:space="preserve">Controles técnicos listos. Falta política de privacidad, base de licitud, retención y validación del responsable de datos de Mallplaza.</t>
  </si>
  <si>
    <t xml:space="preserve">RNF-11</t>
  </si>
  <si>
    <t xml:space="preserve">Limitar tamaño y peso de imágenes adjuntas</t>
  </si>
  <si>
    <t xml:space="preserve">Solo restricciones parciales en el esquema</t>
  </si>
  <si>
    <t xml:space="preserve">Depende de RF-12.</t>
  </si>
  <si>
    <t xml:space="preserve">RNF-12</t>
  </si>
  <si>
    <t xml:space="preserve">Calidad de datos</t>
  </si>
  <si>
    <t xml:space="preserve">Validar el RUT con módulo 11</t>
  </si>
  <si>
    <t xml:space="preserve">backend/src/utils (validación de RUT) y filtros</t>
  </si>
  <si>
    <t xml:space="preserve">filters.test.js (RUT módulo 11)</t>
  </si>
  <si>
    <t xml:space="preserve">RNF-13</t>
  </si>
  <si>
    <t xml:space="preserve">Credenciales de la API de Casa Central en variables de entorno</t>
  </si>
  <si>
    <t xml:space="preserve">backend/src/config.js carga secretos por entorno (JWT_SECRET, DATABASE_URL); .env no versionado</t>
  </si>
  <si>
    <t xml:space="preserve">config.test.js</t>
  </si>
  <si>
    <t xml:space="preserve">Aún no existen variables de Casa Central (el cliente es un mock).</t>
  </si>
  <si>
    <t xml:space="preserve">RNF-14</t>
  </si>
  <si>
    <t xml:space="preserve">Interoperabilidad</t>
  </si>
  <si>
    <t xml:space="preserve">Los timeouts de Casa Central no deben bloquear la interfaz del operario</t>
  </si>
  <si>
    <t xml:space="preserve">El alta responde sin esperar a Casa Central y deja PENDIENTE_SINC</t>
  </si>
  <si>
    <t xml:space="preserve">El diseño lo cumple, pero sin worker real no hay timeout que validar.</t>
  </si>
  <si>
    <t xml:space="preserve">Casos de uso y requerimientos que cubren</t>
  </si>
  <si>
    <t xml:space="preserve">Las especificaciones detalladas están en el documento 'Especificación de casos de uso'. Todo RF del catálogo aparece en al menos un caso de uso (verificado en la columna de control).</t>
  </si>
  <si>
    <t xml:space="preserve">Caso de uso</t>
  </si>
  <si>
    <t xml:space="preserve">Actor principal</t>
  </si>
  <si>
    <t xml:space="preserve">RF y RNF relacionados</t>
  </si>
  <si>
    <t xml:space="preserve">Endpoint o componente</t>
  </si>
  <si>
    <t xml:space="preserve">RF del catálogo sin caso de uso (control)</t>
  </si>
  <si>
    <t xml:space="preserve">Iniciar sesión</t>
  </si>
  <si>
    <t xml:space="preserve">Jefatura</t>
  </si>
  <si>
    <t xml:space="preserve">RF-01, RF-02, RNF-05, RNF-06</t>
  </si>
  <si>
    <t xml:space="preserve">POST /api/auth/login</t>
  </si>
  <si>
    <t xml:space="preserve">Cerrar sesión</t>
  </si>
  <si>
    <t xml:space="preserve">(debe ser 0)</t>
  </si>
  <si>
    <t xml:space="preserve">Acceder al formulario mediante QR</t>
  </si>
  <si>
    <t xml:space="preserve">Operario</t>
  </si>
  <si>
    <t xml:space="preserve">RF-04, RNF-01</t>
  </si>
  <si>
    <t xml:space="preserve">Ruta /#/report; QR de demostración</t>
  </si>
  <si>
    <t xml:space="preserve">Reportar incidencia</t>
  </si>
  <si>
    <t xml:space="preserve">RF-05 a RF-11, RF-14, RF-15, RNF-12</t>
  </si>
  <si>
    <t xml:space="preserve">POST /api/incidencias; GET /api/catalogos</t>
  </si>
  <si>
    <t xml:space="preserve">Adjuntar evidencia fotográfica</t>
  </si>
  <si>
    <t xml:space="preserve">RF-12, RF-13, RF-35, RNF-11</t>
  </si>
  <si>
    <t xml:space="preserve">Sin endpoint de carga</t>
  </si>
  <si>
    <t xml:space="preserve">Calcular prioridad</t>
  </si>
  <si>
    <t xml:space="preserve">Sistema (incluido en CU-04)</t>
  </si>
  <si>
    <t xml:space="preserve">RF-16, RF-17, RF-18</t>
  </si>
  <si>
    <t xml:space="preserve">Sincronizar con Casa Central</t>
  </si>
  <si>
    <t xml:space="preserve">Sistema / Casa Central</t>
  </si>
  <si>
    <t xml:space="preserve">RF-36, RF-37, RF-38, RNF-07, RNF-13, RNF-14</t>
  </si>
  <si>
    <t xml:space="preserve">casaCentralClient.js (mock); auditoriaApi.js</t>
  </si>
  <si>
    <t xml:space="preserve">Reintentar envío fallido</t>
  </si>
  <si>
    <t xml:space="preserve">Sistema</t>
  </si>
  <si>
    <t xml:space="preserve">RF-38, RF-39</t>
  </si>
  <si>
    <t xml:space="preserve">Sin worker ni cola</t>
  </si>
  <si>
    <t xml:space="preserve">Consultar cola priorizada</t>
  </si>
  <si>
    <t xml:space="preserve">RF-02, RF-33</t>
  </si>
  <si>
    <t xml:space="preserve">GET /api/incidencias</t>
  </si>
  <si>
    <t xml:space="preserve">Filtrar y buscar incidencias</t>
  </si>
  <si>
    <t xml:space="preserve">RF-23 a RF-27</t>
  </si>
  <si>
    <t xml:space="preserve">GET /api/incidencias?estado=&amp;prioridad=&amp;ubicacion=&amp;tipo_falla=&amp;q=</t>
  </si>
  <si>
    <t xml:space="preserve">Consultar detalle e historial</t>
  </si>
  <si>
    <t xml:space="preserve">RF-22, RF-35</t>
  </si>
  <si>
    <t xml:space="preserve">GET /api/incidencias/:id</t>
  </si>
  <si>
    <t xml:space="preserve">Cambiar estado de una incidencia</t>
  </si>
  <si>
    <t xml:space="preserve">RF-19, RF-20, RF-21, RF-34</t>
  </si>
  <si>
    <t xml:space="preserve">Consultar dashboard de KPI</t>
  </si>
  <si>
    <t xml:space="preserve">RF-02, RF-28 a RF-32</t>
  </si>
  <si>
    <t xml:space="preserve">GET /api/dashboard/kpis</t>
  </si>
  <si>
    <t xml:space="preserve">Visualizar estado de sincronización</t>
  </si>
  <si>
    <t xml:space="preserve">estado_sync en lista, detalle y dashboard</t>
  </si>
  <si>
    <t xml:space="preserve">Cobertura de la pauta oficial (12 criterios)</t>
  </si>
  <si>
    <t xml:space="preserve">Revisión contra los documentos del repositorio y el Informe 1. 'Estado' mide qué tan cerca está de 'Excelente': Cubierto en texto = solo falta figura o ajuste; Parcial = falta contenido.</t>
  </si>
  <si>
    <t xml:space="preserve">Criterio</t>
  </si>
  <si>
    <t xml:space="preserve">Nombre</t>
  </si>
  <si>
    <t xml:space="preserve">Puntos máx.</t>
  </si>
  <si>
    <t xml:space="preserve">Dónde está hoy</t>
  </si>
  <si>
    <t xml:space="preserve">Brecha para 'Excelente'</t>
  </si>
  <si>
    <t xml:space="preserve">Acción sugerida</t>
  </si>
  <si>
    <t xml:space="preserve">Prioridad</t>
  </si>
  <si>
    <t xml:space="preserve">2.1.1.1</t>
  </si>
  <si>
    <t xml:space="preserve">Análisis comparativo tecnológico y metodológico</t>
  </si>
  <si>
    <t xml:space="preserve">docs/seleccion-tecnologias.md (comparación ponderada de tecnologías); Informe 1 §6.1 (Scrum frente a Cascada, plazo de 15 semanas, equipo de 3); costos en Informe 1 §6.4 y en el documento arquitectónico (CAPEX $3.506.000 CLP, 728 h-h, OPEX ≈ $42.500/mes).</t>
  </si>
  <si>
    <t xml:space="preserve">No aparece un estudio explícito de factibilidad técnica, económica e implementativa. La comparación de metodologías es cualitativa y solo contra Cascada; la pauta pide análisis cualitativo y cuantitativo.</t>
  </si>
  <si>
    <t xml:space="preserve">Agregar una tabla de metodologías (Scrum, Kanban, XP, Cascada) con criterios ponderados y un apartado de factibilidad en tres partes usando CAPEX/OPEX ya calculados.</t>
  </si>
  <si>
    <t xml:space="preserve">Media</t>
  </si>
  <si>
    <t xml:space="preserve">2.1.1.2</t>
  </si>
  <si>
    <t xml:space="preserve">Descripción de herramientas y componentes</t>
  </si>
  <si>
    <t xml:space="preserve">docs/seleccion-tecnologias.md §5-6 y docs/ejecucion-local.md (stack, requisitos de notebook: 4 núcleos, 8 GB RAM).</t>
  </si>
  <si>
    <t xml:space="preserve">Falta un inventario consolidado de lenguajes, herramientas, hardware y servicios con versión y rol. El tipo de instancia AWS no está definido.</t>
  </si>
  <si>
    <t xml:space="preserve">Tabla única: software, hardware (equipos de desarrollo y servidor), servicios AWS y de terceros, con propuesta de dimensionamiento.</t>
  </si>
  <si>
    <t xml:space="preserve">Baja</t>
  </si>
  <si>
    <t xml:space="preserve">2.1.2.3</t>
  </si>
  <si>
    <t xml:space="preserve">Modelado BPMN (≥ 3 procesos con subprocesos)</t>
  </si>
  <si>
    <t xml:space="preserve">Se entregan los 3 procesos en BPMN 2.0 (Reporte y priorización; Gestión y cierre; Sincronización con Casa Central) con 8 subprocesos, figuras PNG y archivos .bpmn editables, más su descripción.</t>
  </si>
  <si>
    <t xml:space="preserve">Falta revisión del profesor sobre la notación y, si se exige una herramienta específica, reexportar desde ella.</t>
  </si>
  <si>
    <t xml:space="preserve">Revisar y ajustar la disposición en bpmn.io o Camunda Modeler si se desea.</t>
  </si>
  <si>
    <t xml:space="preserve">Entregado</t>
  </si>
  <si>
    <t xml:space="preserve">2.1.2.4</t>
  </si>
  <si>
    <t xml:space="preserve">UML de casos de uso y de componentes</t>
  </si>
  <si>
    <t xml:space="preserve">Se entregan el diagrama de casos de uso (14 CU) con su especificación completa. El diagrama de componentes del repositorio y el del Informe 1 siguen vigentes.</t>
  </si>
  <si>
    <t xml:space="preserve">Falta actualizar el diagrama de componentes con el worker de reintentos y el almacenamiento de evidencias.</t>
  </si>
  <si>
    <t xml:space="preserve">Actualizar el diagrama de componentes; insertar el de casos de uso en el informe.</t>
  </si>
  <si>
    <t xml:space="preserve">2.1.2.5</t>
  </si>
  <si>
    <t xml:space="preserve">Modelo y diccionario de datos</t>
  </si>
  <si>
    <t xml:space="preserve">db/schema.sql; docs/datos-kpi-sla.md §1-2 (diagrama erDiagram en Mermaid y diccionario).</t>
  </si>
  <si>
    <t xml:space="preserve">El diagrama está en Mermaid y falta como figura exportada. Si se aprueba una tabla de zonas, hay que actualizar modelo y diccionario.</t>
  </si>
  <si>
    <t xml:space="preserve">Exportar el diagrama ER a imagen, revisar que el diccionario refleje cada columna y su restricción.</t>
  </si>
  <si>
    <t xml:space="preserve">Cubierto en texto</t>
  </si>
  <si>
    <t xml:space="preserve">2.1.2.6</t>
  </si>
  <si>
    <t xml:space="preserve">Topología de comunicación</t>
  </si>
  <si>
    <t xml:space="preserve">Figura A (topología de comunicación) con protocolos, puertos y zonas, para el entorno objetivo en AWS y el prototipo local; descrita en el documento 'Topología, infraestructura y arquitectura TI'.</t>
  </si>
  <si>
    <t xml:space="preserve">Decisiones abiertas: balanceador y DNS no presupuestados (D11) y definición del contrato con Casa Central.</t>
  </si>
  <si>
    <t xml:space="preserve">Resolver D11 y reflejarlo en la figura.</t>
  </si>
  <si>
    <t xml:space="preserve">2.1.2.7</t>
  </si>
  <si>
    <t xml:space="preserve">Diseño de infraestructura</t>
  </si>
  <si>
    <t xml:space="preserve">Figura B (infraestructura en AWS) con VPC, zonas de disponibilidad, subredes, grupos de seguridad y servicios gestionados, distinguiendo lo presupuestado de lo opcional.</t>
  </si>
  <si>
    <t xml:space="preserve">La configuración presupuestada es de una zona y una instancia; la alta disponibilidad es opcional y con costo (D10). El presupuesto dice MySQL (D9).</t>
  </si>
  <si>
    <t xml:space="preserve">Corregir el presupuesto a PostgreSQL y decidir sobre Multi-AZ.</t>
  </si>
  <si>
    <t xml:space="preserve">2.1.2.8</t>
  </si>
  <si>
    <t xml:space="preserve">Diagrama de arquitectura TI</t>
  </si>
  <si>
    <t xml:space="preserve">Figura C (arquitectura TI) con las tres capas de software y su correspondencia con el hardware y los servicios de infraestructura.</t>
  </si>
  <si>
    <t xml:space="preserve">Sin brechas de contenido; depende de las decisiones de infraestructura.</t>
  </si>
  <si>
    <t xml:space="preserve">Insertar las tres figuras en el informe con su descripción.</t>
  </si>
  <si>
    <t xml:space="preserve">2.1.3.9</t>
  </si>
  <si>
    <t xml:space="preserve">KPIs SMART</t>
  </si>
  <si>
    <t xml:space="preserve">Documento 'KPI SMART y niveles de servicio' con 10 indicadores y las cinco dimensiones SMART por indicador.</t>
  </si>
  <si>
    <t xml:space="preserve">Metas por validar con la Jefatura y volumen mensual estimado para la trazabilidad digital.</t>
  </si>
  <si>
    <t xml:space="preserve">Validar metas y línea base con la Jefatura.</t>
  </si>
  <si>
    <t xml:space="preserve">2.1.3.10</t>
  </si>
  <si>
    <t xml:space="preserve">Acuerdos de nivel de servicio (SLA)</t>
  </si>
  <si>
    <t xml:space="preserve">Mismo documento: SLA operativo, SLA de plataforma (severidades S1 a S4) y niveles técnicos de servicio.</t>
  </si>
  <si>
    <t xml:space="preserve">El 99,9 % de disponibilidad no es coherente con el presupuesto de una zona (D10).</t>
  </si>
  <si>
    <t xml:space="preserve">Decidir el objetivo de disponibilidad.</t>
  </si>
  <si>
    <t xml:space="preserve">2.1.4.11</t>
  </si>
  <si>
    <t xml:space="preserve">Plan de pruebas de software</t>
  </si>
  <si>
    <t xml:space="preserve">docs/calidad-operacion-plan.md §1 (tipos de prueba y estado); suite de 33 pruebas automatizadas; columna 'Prueba automatizada' de esta matriz.</t>
  </si>
  <si>
    <t xml:space="preserve">Se agregó la hoja 'Casos de prueba' con 46 casos ejecutados (45 aprobados y 1 hallazgo de seguridad) y 18 casos pendientes (10 manuales y 8 bloqueados por funcionalidad pendiente). Falta ejecutar los casos con celulares reales y UAT con el cliente, y guardar capturas de la ejecución como evidencia.</t>
  </si>
  <si>
    <t xml:space="preserve">Ejecutar los casos MAN (celular real y cliente), guardar capturas y, si se acuerda, resolver el hallazgo del token de sesión (TC-46).</t>
  </si>
  <si>
    <t xml:space="preserve">2.1.4.12</t>
  </si>
  <si>
    <t xml:space="preserve">Normas y estándares aplicados</t>
  </si>
  <si>
    <t xml:space="preserve">docs/calidad-operacion-plan.md §2 (Ley 21.719, OWASP Top 10 y ASVS, ISO/IEC 27001/27002, ISO/IEC 25010, OWASP API Security); Informe 1 (Leyes 19.628, 21.663 y 21.719).</t>
  </si>
  <si>
    <t xml:space="preserve">Falta vincular cada norma con los RF/RNF donde se aplica. El documento arquitectónico menciona ISO 14001 y 45001 para la bitácora, pero no figuran en los documentos del repositorio.</t>
  </si>
  <si>
    <t xml:space="preserve">Tabla norma → motivo → requisito afectado → evidencia en el sistema. Decidir si se incluyen ISO 14001/45001 y bajo qué argumento.</t>
  </si>
  <si>
    <t xml:space="preserve">Total de puntos de la pauta</t>
  </si>
  <si>
    <t xml:space="preserve">Puntos en criterios con prioridad Alta</t>
  </si>
  <si>
    <t xml:space="preserve">Puntos en criterios solo con ajuste de figura</t>
  </si>
  <si>
    <t xml:space="preserve">Puntos con documento o figura ya entregado (por validar)</t>
  </si>
  <si>
    <t xml:space="preserve">Puntos a resolver (conflictos entre documentos)</t>
  </si>
  <si>
    <t xml:space="preserve">Tema</t>
  </si>
  <si>
    <t xml:space="preserve">Qué dicen los documentos</t>
  </si>
  <si>
    <t xml:space="preserve">Por qué importa</t>
  </si>
  <si>
    <t xml:space="preserve">D1</t>
  </si>
  <si>
    <t xml:space="preserve">Cantidad de requisitos</t>
  </si>
  <si>
    <t xml:space="preserve">El Informe 1 habla de 35 RF y 12 RNF con priorización MoSCoW. El catálogo actual tiene 40 RF y 14 RNF.</t>
  </si>
  <si>
    <t xml:space="preserve">RF-36 a RF-40 (integración con Casa Central) y RNF-13 y RNF-14 no están clasificados ni descritos en el Informe 1.</t>
  </si>
  <si>
    <t xml:space="preserve">Actualizar el capítulo de requisitos y la tabla MoSCoW del informe.</t>
  </si>
  <si>
    <t xml:space="preserve">D2</t>
  </si>
  <si>
    <t xml:space="preserve">Quién usa el QR</t>
  </si>
  <si>
    <t xml:space="preserve">RF-04 dice 'acceso abierto, sin login'. El documento arquitectónico dice que el escaneo está 'restringido estrictamente al personal interno' con un QR provisto por la jefatura. El prototipo hoy deja la ruta pública.</t>
  </si>
  <si>
    <t xml:space="preserve">Son tres versiones distintas del mismo punto, y afecta seguridad y la defensa del RNF-10.</t>
  </si>
  <si>
    <t xml:space="preserve">Decidir con el cliente y dejar una sola redacción. Si el QR es de uso interno, definir cómo se protege (código por operario, acceso solo en la red del mall, etc.).</t>
  </si>
  <si>
    <t xml:space="preserve">D3</t>
  </si>
  <si>
    <t xml:space="preserve">QR por sector frente a RF-05</t>
  </si>
  <si>
    <t xml:space="preserve">El catálogo (RF-04 y RF-05) y el documento arquitectónico describen el QR como acceso al formulario, donde el operario elige la zona de una lista. La propuesta de 'QR por sector con ubicación precargada' no está en el catálogo.</t>
  </si>
  <si>
    <t xml:space="preserve">Esa propuesta cambia dos RF. Sin cambio formal, el prototipo ya cumple RF-04 y RF-05 en su forma actual.</t>
  </si>
  <si>
    <t xml:space="preserve">Mantener RF-04/05 tal como están. Si se quiere QR por sector, registrarlo como RF nuevo o como mejora futura. Aun así sirve la tabla de zonas: cada zona lleva su nivel de tránsito.</t>
  </si>
  <si>
    <t xml:space="preserve">D4</t>
  </si>
  <si>
    <t xml:space="preserve">Zonas frente a niveles de tránsito</t>
  </si>
  <si>
    <t xml:space="preserve">El Informe 1 define la ubicación como tres categorías de tránsito y el prototipo la implementa así. RF-05 dice 'ubicación/zona', que podría leerse como zonas físicas del mall.</t>
  </si>
  <si>
    <t xml:space="preserve">Si el cliente espera zonas físicas, RF-05 quedaría parcial y habría que agregar una tabla de zonas, cada una con su nivel de tránsito (el árbol de decisión sigue necesitándolo).</t>
  </si>
  <si>
    <t xml:space="preserve">Preguntarle a Mauricio Maldonado cuál de las dos lecturas quiere. Mientras tanto, RF-05 se considera cumplido con la definición del Informe 1.</t>
  </si>
  <si>
    <t xml:space="preserve">D5</t>
  </si>
  <si>
    <t xml:space="preserve">Fotos: opcional y mínimo 1</t>
  </si>
  <si>
    <t xml:space="preserve">RF-12 dice que es opcional y que admite un mínimo de 1 y un máximo de 3.</t>
  </si>
  <si>
    <t xml:space="preserve">El requisito se contradice a sí mismo.</t>
  </si>
  <si>
    <t xml:space="preserve">Interpretar como 0 fotos o entre 1 y 3, y confirmarlo con el cliente.</t>
  </si>
  <si>
    <t xml:space="preserve">D6</t>
  </si>
  <si>
    <t xml:space="preserve">RUT sin validación cruzada y módulo 11</t>
  </si>
  <si>
    <t xml:space="preserve">RF-06 dice que no hay validación cruzada con bases corporativas; RNF-12 exige módulo 11.</t>
  </si>
  <si>
    <t xml:space="preserve">Son compatibles (formato frente a existencia), pero conviene decirlo expresamente.</t>
  </si>
  <si>
    <t xml:space="preserve">Aclarar en el informe: se valida formato, no existencia.</t>
  </si>
  <si>
    <t xml:space="preserve">D7</t>
  </si>
  <si>
    <t xml:space="preserve">Fecha de cierre</t>
  </si>
  <si>
    <t xml:space="preserve">El documento arquitectónico fija el cierre y el prototipo operativo a principios de diciembre (con pruebas en sandbox y capacitación). Los documentos del repositorio hablan de entrega y exposición el 14-oct.</t>
  </si>
  <si>
    <t xml:space="preserve">El alcance del 14-oct debe presentarse como etapa intermedia, no como producto final.</t>
  </si>
  <si>
    <t xml:space="preserve">Confirmar qué se entrega el 14-oct y qué en diciembre; ajustar el plan y el discurso de la demo.</t>
  </si>
  <si>
    <t xml:space="preserve">D8</t>
  </si>
  <si>
    <t xml:space="preserve">Requisitos de infraestructura en un prototipo local</t>
  </si>
  <si>
    <t xml:space="preserve">RNF-02 (AWS) y RNF-07 (HTTPS) se exigen, pero el prototipo corre local sobre HTTP.</t>
  </si>
  <si>
    <t xml:space="preserve">Pueden parecer incumplimientos.</t>
  </si>
  <si>
    <t xml:space="preserve">Presentarlos como 'diseñado, se verifica al desplegar' y explicar el plan de despliegue.</t>
  </si>
  <si>
    <t xml:space="preserve">D9</t>
  </si>
  <si>
    <t xml:space="preserve">Base de datos en el presupuesto</t>
  </si>
  <si>
    <t xml:space="preserve">El presupuesto del Informe 1 contempla 'Amazon RDS para MySQL'; el sistema, el esquema y los demás documentos usan PostgreSQL.</t>
  </si>
  <si>
    <t xml:space="preserve">El costo y la tecnología del informe no coinciden con lo construido, y una cotización de AWS distinta puede cambiar los $42.500 CLP mensuales.</t>
  </si>
  <si>
    <t xml:space="preserve">Corregir el Informe 1 a PostgreSQL y cotizar RDS PostgreSQL db.t3.micro con la calculadora de AWS.</t>
  </si>
  <si>
    <t xml:space="preserve">D10</t>
  </si>
  <si>
    <t xml:space="preserve">Disponibilidad frente a lo presupuestado</t>
  </si>
  <si>
    <t xml:space="preserve">El Informe 1 promete 99,9 % de disponibilidad, pero presupuesta una sola instancia EC2 t3.micro y RDS en una sola zona (Single-AZ).</t>
  </si>
  <si>
    <t xml:space="preserve">Esa configuración no respalda por diseño un 99,9 %: haría falta más de una instancia y la base en dos zonas, con costo adicional.</t>
  </si>
  <si>
    <t xml:space="preserve">Bajar el objetivo (por ejemplo al 99,5 % que plantea el repositorio) o presupuestar la alta disponibilidad.</t>
  </si>
  <si>
    <t xml:space="preserve">D11</t>
  </si>
  <si>
    <t xml:space="preserve">Balanceador y DNS fuera del presupuesto</t>
  </si>
  <si>
    <t xml:space="preserve">Los documentos de arquitectura mencionan balanceador HTTPS y DNS con certificado, pero el presupuesto solo incluye RDS y Elastic Beanstalk.</t>
  </si>
  <si>
    <t xml:space="preserve">Sin balanceador, el certificado TLS debe configurarse en la propia instancia; con balanceador hay un costo mensual adicional.</t>
  </si>
  <si>
    <t xml:space="preserve">Decidir cuál de las dos opciones se adopta y reflejarla en la figura de infraestructura y en el presupuesto.</t>
  </si>
  <si>
    <t xml:space="preserve">D12</t>
  </si>
  <si>
    <t xml:space="preserve">Dos presupuestos distintos</t>
  </si>
  <si>
    <t xml:space="preserve">El Informe 1 presupone $3.932.000 CLP (recursos humanos $3.600.000). El documento de definición arquitectónica del 6-oct habla de un CAPEX de $3.506.000 CLP con 728 horas-hombre.</t>
  </si>
  <si>
    <t xml:space="preserve">Una diferencia de $426.000 sin explicar resta credibilidad al análisis de factibilidad económica.</t>
  </si>
  <si>
    <t xml:space="preserve">Reconciliar ambos montos y usar una sola cifra en el informe final. La hoja 'Factibilidad económica' calcula con las dos.</t>
  </si>
  <si>
    <t xml:space="preserve">Casos de prueba y resultados de ejecución</t>
  </si>
  <si>
    <t xml:space="preserve">Los casos TC se ejecutaron el 10-oct-2026 contra el backend (Node 22, PostgreSQL 16) sobre una base limpia, por HTTP, con el script ejecutar-casos-api.js. Es un entorno de pruebas local, no producción. Los casos MAN requieren celular real o al cliente; los BLQ dependen de funcionalidad pendiente. Además de estos casos, la suite automatizada del repositorio (33 pruebas) pasó completa.</t>
  </si>
  <si>
    <t xml:space="preserve">Tipo</t>
  </si>
  <si>
    <t xml:space="preserve">RF / RNF</t>
  </si>
  <si>
    <t xml:space="preserve">Descripción</t>
  </si>
  <si>
    <t xml:space="preserve">Precondiciones</t>
  </si>
  <si>
    <t xml:space="preserve">Pasos</t>
  </si>
  <si>
    <t xml:space="preserve">Datos de entrada</t>
  </si>
  <si>
    <t xml:space="preserve">Resultado esperado</t>
  </si>
  <si>
    <t xml:space="preserve">Método</t>
  </si>
  <si>
    <t xml:space="preserve">Resultado obtenido</t>
  </si>
  <si>
    <t xml:space="preserve">Fecha</t>
  </si>
  <si>
    <t xml:space="preserve">TC-01</t>
  </si>
  <si>
    <t xml:space="preserve">Funcional</t>
  </si>
  <si>
    <t xml:space="preserve">RF-01, RNF-06</t>
  </si>
  <si>
    <t xml:space="preserve">Inicio de sesión con credenciales válidas</t>
  </si>
  <si>
    <t xml:space="preserve">Usuario Jefatura activo</t>
  </si>
  <si>
    <t xml:space="preserve">POST /api/auth/login con correo y contraseña</t>
  </si>
  <si>
    <t xml:space="preserve">Credenciales de prueba</t>
  </si>
  <si>
    <t xml:space="preserve">HTTP 200 y cookie de sesión</t>
  </si>
  <si>
    <t xml:space="preserve">API (script de pruebas)</t>
  </si>
  <si>
    <t xml:space="preserve">HTTP 200 · cookie recibida</t>
  </si>
  <si>
    <t xml:space="preserve">10-oct-2026</t>
  </si>
  <si>
    <t xml:space="preserve">TC-02</t>
  </si>
  <si>
    <t xml:space="preserve">Contraseña incorrecta</t>
  </si>
  <si>
    <t xml:space="preserve">POST /api/auth/login con contraseña errónea</t>
  </si>
  <si>
    <t xml:space="preserve">HTTP 401 con mensaje genérico</t>
  </si>
  <si>
    <t xml:space="preserve">HTTP 401 · INVALID_CREDENTIALS · «Credenciales inválidas»</t>
  </si>
  <si>
    <t xml:space="preserve">TC-03</t>
  </si>
  <si>
    <t xml:space="preserve">Correo inexistente: mensaje idéntico al de contraseña incorrecta</t>
  </si>
  <si>
    <t xml:space="preserve">POST /api/auth/login con correo no registrado</t>
  </si>
  <si>
    <t xml:space="preserve">Correo inexistente</t>
  </si>
  <si>
    <t xml:space="preserve">HTTP 401 y el mismo mensaje que TC-02</t>
  </si>
  <si>
    <t xml:space="preserve">TC-04</t>
  </si>
  <si>
    <t xml:space="preserve">RF-02, RNF-05</t>
  </si>
  <si>
    <t xml:space="preserve">Cola sin sesión</t>
  </si>
  <si>
    <t xml:space="preserve">Sin cookie de sesión</t>
  </si>
  <si>
    <t xml:space="preserve">GET /api/incidencias sin cookie</t>
  </si>
  <si>
    <t xml:space="preserve">HTTP 401</t>
  </si>
  <si>
    <t xml:space="preserve">HTTP 401 · UNAUTHORIZED</t>
  </si>
  <si>
    <t xml:space="preserve">TC-05</t>
  </si>
  <si>
    <t xml:space="preserve">Dashboard sin sesión</t>
  </si>
  <si>
    <t xml:space="preserve">GET /api/dashboard/kpis sin cookie</t>
  </si>
  <si>
    <t xml:space="preserve">TC-06</t>
  </si>
  <si>
    <t xml:space="preserve">Sesión activa</t>
  </si>
  <si>
    <t xml:space="preserve">HTTP 204 (sin contenido) y cookie invalidada</t>
  </si>
  <si>
    <t xml:space="preserve">HTTP 204 · cookie invalidada</t>
  </si>
  <si>
    <t xml:space="preserve">Expectativa corregida: la API responde 204, no 200.</t>
  </si>
  <si>
    <t xml:space="preserve">TC-07</t>
  </si>
  <si>
    <t xml:space="preserve">RF-04 a RF-11, RF-14, RF-15, RF-18</t>
  </si>
  <si>
    <t xml:space="preserve">Alta válida de incidencia</t>
  </si>
  <si>
    <t xml:space="preserve">Servidor activo; sin sesión</t>
  </si>
  <si>
    <t xml:space="preserve">POST /api/incidencias con todos los campos</t>
  </si>
  <si>
    <t xml:space="preserve">RUT 11111111-1, alto tránsito, impacto operativo Sí, comentario</t>
  </si>
  <si>
    <t xml:space="preserve">HTTP 201 con número, prioridad y estado Pendiente</t>
  </si>
  <si>
    <t xml:space="preserve">HTTP 201 · id 1 · prioridad CRITICA · estado PENDIENTE</t>
  </si>
  <si>
    <t xml:space="preserve">TC-08</t>
  </si>
  <si>
    <t xml:space="preserve">Validación</t>
  </si>
  <si>
    <t xml:space="preserve">RF-06, RF-14</t>
  </si>
  <si>
    <t xml:space="preserve">Alta sin RUT</t>
  </si>
  <si>
    <t xml:space="preserve">POST /api/incidencias sin rut_operario</t>
  </si>
  <si>
    <t xml:space="preserve">RUT ausente</t>
  </si>
  <si>
    <t xml:space="preserve">HTTP 400 por validación</t>
  </si>
  <si>
    <t xml:space="preserve">HTTP 400 · VALIDATION_ERROR</t>
  </si>
  <si>
    <t xml:space="preserve">TC-09</t>
  </si>
  <si>
    <t xml:space="preserve">RUT con dígito verificador inválido (módulo 11)</t>
  </si>
  <si>
    <t xml:space="preserve">POST /api/incidencias con RUT 11111111-2</t>
  </si>
  <si>
    <t xml:space="preserve">RUT con dígito verificador incorrecto</t>
  </si>
  <si>
    <t xml:space="preserve">TC-10</t>
  </si>
  <si>
    <t xml:space="preserve">RF-08, RF-14</t>
  </si>
  <si>
    <t xml:space="preserve">Alta sin el campo obligatorio de impacto operativo</t>
  </si>
  <si>
    <t xml:space="preserve">POST /api/incidencias sin impacto_operativo</t>
  </si>
  <si>
    <t xml:space="preserve">Campo ausente</t>
  </si>
  <si>
    <t xml:space="preserve">TC-11</t>
  </si>
  <si>
    <t xml:space="preserve">Tipo de falla fuera del catálogo</t>
  </si>
  <si>
    <t xml:space="preserve">POST /api/incidencias con tipo_falla inexistente</t>
  </si>
  <si>
    <t xml:space="preserve">tipo_falla = PLOMERIA_X</t>
  </si>
  <si>
    <t xml:space="preserve">TC-12</t>
  </si>
  <si>
    <t xml:space="preserve">Ubicación fuera del catálogo</t>
  </si>
  <si>
    <t xml:space="preserve">POST /api/incidencias con ubicación inexistente</t>
  </si>
  <si>
    <t xml:space="preserve">ubicacion = SECTOR_X</t>
  </si>
  <si>
    <t xml:space="preserve">TC-13</t>
  </si>
  <si>
    <t xml:space="preserve">Alta sin comentario (campo opcional)</t>
  </si>
  <si>
    <t xml:space="preserve">POST /api/incidencias sin comentario</t>
  </si>
  <si>
    <t xml:space="preserve">Sin comentario</t>
  </si>
  <si>
    <t xml:space="preserve">HTTP 201</t>
  </si>
  <si>
    <t xml:space="preserve">HTTP 201 · prioridad BAJA</t>
  </si>
  <si>
    <t xml:space="preserve">TC-14</t>
  </si>
  <si>
    <t xml:space="preserve">La respuesta del alta no devuelve el RUT</t>
  </si>
  <si>
    <t xml:space="preserve">Alta realizada en TC-07</t>
  </si>
  <si>
    <t xml:space="preserve">Revisar el cuerpo de la respuesta del alta</t>
  </si>
  <si>
    <t xml:space="preserve">El cuerpo no contiene el RUT</t>
  </si>
  <si>
    <t xml:space="preserve">TC-15</t>
  </si>
  <si>
    <t xml:space="preserve">RF-16, RF-17</t>
  </si>
  <si>
    <t xml:space="preserve">Prioridad: Alto tránsito + impacto operativo</t>
  </si>
  <si>
    <t xml:space="preserve">POST /api/incidencias y leer la prioridad devuelta</t>
  </si>
  <si>
    <t xml:space="preserve">Alto tránsito + impacto operativo</t>
  </si>
  <si>
    <t xml:space="preserve">Prioridad CRITICA</t>
  </si>
  <si>
    <t xml:space="preserve">HTTP 201 · prioridad CRITICA</t>
  </si>
  <si>
    <t xml:space="preserve">TC-16</t>
  </si>
  <si>
    <t xml:space="preserve">Prioridad: Bajo tránsito + riesgo de accidente</t>
  </si>
  <si>
    <t xml:space="preserve">Bajo tránsito + riesgo de accidente</t>
  </si>
  <si>
    <t xml:space="preserve">Prioridad ALTA</t>
  </si>
  <si>
    <t xml:space="preserve">HTTP 201 · prioridad ALTA</t>
  </si>
  <si>
    <t xml:space="preserve">TC-17</t>
  </si>
  <si>
    <t xml:space="preserve">Prioridad: Bajo tránsito + afecta a terceros</t>
  </si>
  <si>
    <t xml:space="preserve">Bajo tránsito + afecta a terceros</t>
  </si>
  <si>
    <t xml:space="preserve">TC-18</t>
  </si>
  <si>
    <t xml:space="preserve">Prioridad: Alto tránsito sin otros factores</t>
  </si>
  <si>
    <t xml:space="preserve">Alto tránsito sin otros factores</t>
  </si>
  <si>
    <t xml:space="preserve">Prioridad MEDIA</t>
  </si>
  <si>
    <t xml:space="preserve">HTTP 201 · prioridad MEDIA</t>
  </si>
  <si>
    <t xml:space="preserve">TC-19</t>
  </si>
  <si>
    <t xml:space="preserve">Prioridad: Bajo tránsito + impacto operativo</t>
  </si>
  <si>
    <t xml:space="preserve">Bajo tránsito + impacto operativo</t>
  </si>
  <si>
    <t xml:space="preserve">TC-20</t>
  </si>
  <si>
    <t xml:space="preserve">Prioridad: Bajo tránsito sin factores</t>
  </si>
  <si>
    <t xml:space="preserve">Bajo tránsito sin factores</t>
  </si>
  <si>
    <t xml:space="preserve">Prioridad BAJA</t>
  </si>
  <si>
    <t xml:space="preserve">TC-21</t>
  </si>
  <si>
    <t xml:space="preserve">Prioridad: Precedencia: alto tránsito + impacto + riesgo + terceros</t>
  </si>
  <si>
    <t xml:space="preserve">Precedencia: alto tránsito + impacto + riesgo + terceros</t>
  </si>
  <si>
    <t xml:space="preserve">TC-22</t>
  </si>
  <si>
    <t xml:space="preserve">Determinismo: el mismo reporte da la misma prioridad</t>
  </si>
  <si>
    <t xml:space="preserve">Enviar dos veces el mismo reporte</t>
  </si>
  <si>
    <t xml:space="preserve">Tránsito medio + riesgo de accidente</t>
  </si>
  <si>
    <t xml:space="preserve">Ambas respuestas con la misma prioridad</t>
  </si>
  <si>
    <t xml:space="preserve">Prioridades: ALTA y ALTA</t>
  </si>
  <si>
    <t xml:space="preserve">TC-23</t>
  </si>
  <si>
    <t xml:space="preserve">Cola ordenada por prioridad (Crítica a Baja)</t>
  </si>
  <si>
    <t xml:space="preserve">Varias incidencias de distintas prioridades</t>
  </si>
  <si>
    <t xml:space="preserve">GET /api/incidencias con sesión</t>
  </si>
  <si>
    <t xml:space="preserve">Orden no decreciente de severidad</t>
  </si>
  <si>
    <t xml:space="preserve">HTTP 200 · 11 filas · orden correcto</t>
  </si>
  <si>
    <t xml:space="preserve">TC-24</t>
  </si>
  <si>
    <t xml:space="preserve">La lista no expone el RUT</t>
  </si>
  <si>
    <t xml:space="preserve">Incidencias creadas</t>
  </si>
  <si>
    <t xml:space="preserve">Revisar el cuerpo de GET /api/incidencias</t>
  </si>
  <si>
    <t xml:space="preserve">Ninguna fila contiene el RUT</t>
  </si>
  <si>
    <t xml:space="preserve">La lista no contiene el RUT</t>
  </si>
  <si>
    <t xml:space="preserve">TC-25</t>
  </si>
  <si>
    <t xml:space="preserve">RF-22, RNF-10</t>
  </si>
  <si>
    <t xml:space="preserve">El detalle sí muestra el RUT a Jefatura autenticada</t>
  </si>
  <si>
    <t xml:space="preserve">Detalle con RUT y datos completos</t>
  </si>
  <si>
    <t xml:space="preserve">HTTP 200 · RUT presente</t>
  </si>
  <si>
    <t xml:space="preserve">TC-26</t>
  </si>
  <si>
    <t xml:space="preserve">Filtro por prioridad</t>
  </si>
  <si>
    <t xml:space="preserve">Incidencias variadas</t>
  </si>
  <si>
    <t xml:space="preserve">GET /api/incidencias?prioridad=CRITICA</t>
  </si>
  <si>
    <t xml:space="preserve">prioridad=CRITICA</t>
  </si>
  <si>
    <t xml:space="preserve">Solo coincidencias</t>
  </si>
  <si>
    <t xml:space="preserve">HTTP 200 · 3 resultados</t>
  </si>
  <si>
    <t xml:space="preserve">TC-27</t>
  </si>
  <si>
    <t xml:space="preserve">Filtro por tipo de falla</t>
  </si>
  <si>
    <t xml:space="preserve">GET /api/incidencias?tipo_falla=ELECTRICA</t>
  </si>
  <si>
    <t xml:space="preserve">tipo_falla=ELECTRICA</t>
  </si>
  <si>
    <t xml:space="preserve">HTTP 200 · 11 resultados</t>
  </si>
  <si>
    <t xml:space="preserve">TC-28</t>
  </si>
  <si>
    <t xml:space="preserve">Filtro por ubicación</t>
  </si>
  <si>
    <t xml:space="preserve">GET /api/incidencias?ubicacion=BAJO_TRANSITO</t>
  </si>
  <si>
    <t xml:space="preserve">ubicacion=BAJO_TRANSITO</t>
  </si>
  <si>
    <t xml:space="preserve">HTTP 200 · 5 resultados</t>
  </si>
  <si>
    <t xml:space="preserve">TC-29</t>
  </si>
  <si>
    <t xml:space="preserve">Filtro por estado</t>
  </si>
  <si>
    <t xml:space="preserve">GET /api/incidencias?estado=PENDIENTE</t>
  </si>
  <si>
    <t xml:space="preserve">estado=PENDIENTE</t>
  </si>
  <si>
    <t xml:space="preserve">TC-30</t>
  </si>
  <si>
    <t xml:space="preserve">Búsqueda por número de incidencia</t>
  </si>
  <si>
    <t xml:space="preserve">Incidencia creada</t>
  </si>
  <si>
    <t xml:space="preserve">GET /api/incidencias?q=1</t>
  </si>
  <si>
    <t xml:space="preserve">Número exacto</t>
  </si>
  <si>
    <t xml:space="preserve">Un resultado con ese id</t>
  </si>
  <si>
    <t xml:space="preserve">HTTP 200 · 1 resultado(s)</t>
  </si>
  <si>
    <t xml:space="preserve">TC-31</t>
  </si>
  <si>
    <t xml:space="preserve">Búsqueda con identificador no numérico</t>
  </si>
  <si>
    <t xml:space="preserve">GET /api/incidencias?q=abc</t>
  </si>
  <si>
    <t xml:space="preserve">q = abc</t>
  </si>
  <si>
    <t xml:space="preserve">HTTP 400</t>
  </si>
  <si>
    <t xml:space="preserve">TC-32</t>
  </si>
  <si>
    <t xml:space="preserve">Filtro con valor inválido</t>
  </si>
  <si>
    <t xml:space="preserve">GET /api/incidencias?prioridad=URGENTE</t>
  </si>
  <si>
    <t xml:space="preserve">prioridad = URGENTE</t>
  </si>
  <si>
    <t xml:space="preserve">TC-33</t>
  </si>
  <si>
    <t xml:space="preserve">No se puede resolver sin pasar por En proceso</t>
  </si>
  <si>
    <t xml:space="preserve">Incidencia Pendiente</t>
  </si>
  <si>
    <t xml:space="preserve">PATCH /api/incidencias/:id/estado → RESUELTA</t>
  </si>
  <si>
    <t xml:space="preserve">Pendiente → Resuelta</t>
  </si>
  <si>
    <t xml:space="preserve">HTTP 409 y el estado no cambia</t>
  </si>
  <si>
    <t xml:space="preserve">HTTP 409 · INVALID_TRANSITION</t>
  </si>
  <si>
    <t xml:space="preserve">TC-34</t>
  </si>
  <si>
    <t xml:space="preserve">Pasar de Pendiente a En proceso</t>
  </si>
  <si>
    <t xml:space="preserve">PATCH → EN_PROCESO</t>
  </si>
  <si>
    <t xml:space="preserve">Pendiente → En proceso</t>
  </si>
  <si>
    <t xml:space="preserve">HTTP 200</t>
  </si>
  <si>
    <t xml:space="preserve">TC-35</t>
  </si>
  <si>
    <t xml:space="preserve">Resolver una incidencia En proceso y registrar la fecha de cierre</t>
  </si>
  <si>
    <t xml:space="preserve">Incidencia En proceso</t>
  </si>
  <si>
    <t xml:space="preserve">PATCH → RESUELTA</t>
  </si>
  <si>
    <t xml:space="preserve">En proceso → Resuelta</t>
  </si>
  <si>
    <t xml:space="preserve">HTTP 200 y fecha de cierre registrada</t>
  </si>
  <si>
    <t xml:space="preserve">HTTP 200 · fecha_cierre registrada</t>
  </si>
  <si>
    <t xml:space="preserve">TC-36</t>
  </si>
  <si>
    <t xml:space="preserve">RF-19, RF-21</t>
  </si>
  <si>
    <t xml:space="preserve">No se puede retroceder una incidencia Resuelta</t>
  </si>
  <si>
    <t xml:space="preserve">Incidencia Resuelta</t>
  </si>
  <si>
    <t xml:space="preserve">PATCH → EN_PROCESO sobre una Resuelta</t>
  </si>
  <si>
    <t xml:space="preserve">Resuelta → En proceso</t>
  </si>
  <si>
    <t xml:space="preserve">HTTP 409</t>
  </si>
  <si>
    <t xml:space="preserve">TC-37</t>
  </si>
  <si>
    <t xml:space="preserve">Historial con ambos cambios de estado</t>
  </si>
  <si>
    <t xml:space="preserve">Incidencia con dos cambios</t>
  </si>
  <si>
    <t xml:space="preserve">Dos entradas en orden cronológico con usuario y fecha</t>
  </si>
  <si>
    <t xml:space="preserve">3 entradas: null→PENDIENTE, PENDIENTE→EN_PROCESO, EN_PROCESO→RESUELTA</t>
  </si>
  <si>
    <t xml:space="preserve">TC-38</t>
  </si>
  <si>
    <t xml:space="preserve">RF-40, RNF-14</t>
  </si>
  <si>
    <t xml:space="preserve">El alta deja la sincronización pendiente y no espera a Casa Central</t>
  </si>
  <si>
    <t xml:space="preserve">Alta de TC-07</t>
  </si>
  <si>
    <t xml:space="preserve">Revisar estado de sincronización en el detalle</t>
  </si>
  <si>
    <t xml:space="preserve">estado de sincronización PENDIENTE_SINC</t>
  </si>
  <si>
    <t xml:space="preserve">Detalle contiene PENDIENTE_SINC: true</t>
  </si>
  <si>
    <t xml:space="preserve">TC-39</t>
  </si>
  <si>
    <t xml:space="preserve">RF-28 a RF-31, RF-40</t>
  </si>
  <si>
    <t xml:space="preserve">KPI con datos: MTTR, SLA y agrupaciones</t>
  </si>
  <si>
    <t xml:space="preserve">Al menos una incidencia resuelta</t>
  </si>
  <si>
    <t xml:space="preserve">GET /api/dashboard/kpis con sesión</t>
  </si>
  <si>
    <t xml:space="preserve">HTTP 200 con los seis indicadores</t>
  </si>
  <si>
    <t xml:space="preserve">HTTP 200 · faltantes: ninguno</t>
  </si>
  <si>
    <t xml:space="preserve">TC-40</t>
  </si>
  <si>
    <t xml:space="preserve">MTTR numérico tras resolver una incidencia</t>
  </si>
  <si>
    <t xml:space="preserve">TC-35 ejecutado</t>
  </si>
  <si>
    <t xml:space="preserve">Leer mttr_minutos</t>
  </si>
  <si>
    <t xml:space="preserve">Valor numérico no negativo</t>
  </si>
  <si>
    <t xml:space="preserve">mttr_minutos = 0</t>
  </si>
  <si>
    <t xml:space="preserve">TC-41</t>
  </si>
  <si>
    <t xml:space="preserve">Filtro por rango de fechas (el día de hoy)</t>
  </si>
  <si>
    <t xml:space="preserve">GET /api/dashboard/kpis?desde=2026-10-11&amp;hasta=2026-10-11</t>
  </si>
  <si>
    <t xml:space="preserve">Rango de un día</t>
  </si>
  <si>
    <t xml:space="preserve">HTTP 200 e incluye las incidencias del día</t>
  </si>
  <si>
    <t xml:space="preserve">HTTP 200 · incidencias por prioridad: {"ALTA":4,"BAJA":2,"MEDIA":2,"CRITICA":3}</t>
  </si>
  <si>
    <t xml:space="preserve">TC-42</t>
  </si>
  <si>
    <t xml:space="preserve">Rango inválido (fecha inicial posterior a la final)</t>
  </si>
  <si>
    <t xml:space="preserve">GET /api/dashboard/kpis?desde=2026-10-10&amp;hasta=2026-10-01</t>
  </si>
  <si>
    <t xml:space="preserve">desde &gt; hasta</t>
  </si>
  <si>
    <t xml:space="preserve">TC-43</t>
  </si>
  <si>
    <t xml:space="preserve">Operación</t>
  </si>
  <si>
    <t xml:space="preserve">Verificación de salud sin consultar la base</t>
  </si>
  <si>
    <t xml:space="preserve">GET /health</t>
  </si>
  <si>
    <t xml:space="preserve">TC-44</t>
  </si>
  <si>
    <t xml:space="preserve">Tiempo de respuesta del alta (30 envíos seguidos, entorno local)</t>
  </si>
  <si>
    <t xml:space="preserve">Base limpia, sin carga</t>
  </si>
  <si>
    <t xml:space="preserve">30 POST secuenciales a /api/incidencias</t>
  </si>
  <si>
    <t xml:space="preserve">Reporte válido</t>
  </si>
  <si>
    <t xml:space="preserve">p95 menor a 3 000 ms (referencia local, no es producción)</t>
  </si>
  <si>
    <t xml:space="preserve">p50 3 ms · p95 6 ms · máx 6 ms</t>
  </si>
  <si>
    <t xml:space="preserve">Medición local sin red móvil; no reemplaza la prueba en un entorno parecido a producción.</t>
  </si>
  <si>
    <t xml:space="preserve">TC-45</t>
  </si>
  <si>
    <t xml:space="preserve">RNF-09, RNF-08</t>
  </si>
  <si>
    <t xml:space="preserve">20 envíos simultáneos sin pérdidas ni duplicados (entorno local)</t>
  </si>
  <si>
    <t xml:space="preserve">Base limpia</t>
  </si>
  <si>
    <t xml:space="preserve">20 POST en paralelo</t>
  </si>
  <si>
    <t xml:space="preserve">20 respuestas 201 con identificadores distintos</t>
  </si>
  <si>
    <t xml:space="preserve">20 con HTTP 201 · 20 identificadores distintos · máx 143 ms</t>
  </si>
  <si>
    <t xml:space="preserve">Prueba ligera de concurrencia; no equivale a una prueba de carga con el volumen real.</t>
  </si>
  <si>
    <t xml:space="preserve">TC-46</t>
  </si>
  <si>
    <t xml:space="preserve">RF-03, RNF-05</t>
  </si>
  <si>
    <t xml:space="preserve">Reutilizar la cookie anterior después de cerrar sesión</t>
  </si>
  <si>
    <t xml:space="preserve">Cierre de sesión hecho (TC-06)</t>
  </si>
  <si>
    <t xml:space="preserve">GET /api/auth/me con la cookie previa al cierre</t>
  </si>
  <si>
    <t xml:space="preserve">Cookie copiada antes del cierre</t>
  </si>
  <si>
    <t xml:space="preserve">HALLAZGO: la cookie copiada antes del cierre sigue siendo válida hasta que expira (vigencia de 8 h; el token no se revoca en el servidor). RF-03 cumple en el navegador, pero conviene acortar la vigencia o agregar revocación.</t>
  </si>
  <si>
    <t xml:space="preserve">MAN-01</t>
  </si>
  <si>
    <t xml:space="preserve">Aceptación</t>
  </si>
  <si>
    <t xml:space="preserve">Escanear el QR con un iPhone y abrir el formulario</t>
  </si>
  <si>
    <t xml:space="preserve">App accesible desde el celular (misma red o HTTPS); QR impreso o en pantalla</t>
  </si>
  <si>
    <t xml:space="preserve">Abrir la cámara nativa, apuntar al QR, abrir el enlace</t>
  </si>
  <si>
    <t xml:space="preserve">QR de demostración</t>
  </si>
  <si>
    <t xml:space="preserve">Se abre /#/report y el formulario carga con sus listas</t>
  </si>
  <si>
    <t xml:space="preserve">Manual</t>
  </si>
  <si>
    <t xml:space="preserve">Requiere dispositivo real o participación del cliente.</t>
  </si>
  <si>
    <t xml:space="preserve">MAN-02</t>
  </si>
  <si>
    <t xml:space="preserve">Escanear el QR con un Android</t>
  </si>
  <si>
    <t xml:space="preserve">Igual que MAN-01</t>
  </si>
  <si>
    <t xml:space="preserve">Escanear con la cámara o con Google Lens</t>
  </si>
  <si>
    <t xml:space="preserve">Se abre el formulario</t>
  </si>
  <si>
    <t xml:space="preserve">MAN-03</t>
  </si>
  <si>
    <t xml:space="preserve">Instalar la PWA en la pantalla de inicio y abrirla</t>
  </si>
  <si>
    <t xml:space="preserve">Navegador móvil compatible; HTTPS o localhost</t>
  </si>
  <si>
    <t xml:space="preserve">Usar «Agregar a pantalla de inicio» y abrir el ícono</t>
  </si>
  <si>
    <t xml:space="preserve">Abre en modo independiente con el nombre e ícono definidos</t>
  </si>
  <si>
    <t xml:space="preserve">MAN-04</t>
  </si>
  <si>
    <t xml:space="preserve">RNF-01, RNF-14</t>
  </si>
  <si>
    <t xml:space="preserve">Comportamiento sin conexión</t>
  </si>
  <si>
    <t xml:space="preserve">PWA instalada y abierta una vez</t>
  </si>
  <si>
    <t xml:space="preserve">Activar modo avión, abrir la app e intentar enviar</t>
  </si>
  <si>
    <t xml:space="preserve">La interfaz carga; el envío falla con un mensaje claro y no se pierde nada</t>
  </si>
  <si>
    <t xml:space="preserve">MAN-05</t>
  </si>
  <si>
    <t xml:space="preserve">RF-33, RF-34</t>
  </si>
  <si>
    <t xml:space="preserve">CU-09, CU-12</t>
  </si>
  <si>
    <t xml:space="preserve">Cola y cambio de estado desde un celular</t>
  </si>
  <si>
    <t xml:space="preserve">Sesión de Jefatura en un celular real (ancho cercano a 375 px)</t>
  </si>
  <si>
    <t xml:space="preserve">Ver la cola, filtrar, abrir un detalle y pasar a En proceso</t>
  </si>
  <si>
    <t xml:space="preserve">Incidencia de prueba</t>
  </si>
  <si>
    <t xml:space="preserve">Mismas funciones que en escritorio; sin textos cortados ni controles inalcanzables</t>
  </si>
  <si>
    <t xml:space="preserve">MAN-06</t>
  </si>
  <si>
    <t xml:space="preserve">Cierre de sesión sin errores de red visibles</t>
  </si>
  <si>
    <t xml:space="preserve">Navegador con herramientas de desarrollo abiertas (tarea T6)</t>
  </si>
  <si>
    <t xml:space="preserve">Cerrar sesión y revisar la pestaña de red</t>
  </si>
  <si>
    <t xml:space="preserve">Una solicitud de cierre completada; sin ERR_ABORTED</t>
  </si>
  <si>
    <t xml:space="preserve">MAN-07</t>
  </si>
  <si>
    <t xml:space="preserve">Revisión visual con la guía de marca de Mallplaza</t>
  </si>
  <si>
    <t xml:space="preserve">Guía de marca entregada por el cliente</t>
  </si>
  <si>
    <t xml:space="preserve">Comparar colores, tipografía y logotipo</t>
  </si>
  <si>
    <t xml:space="preserve">Observaciones del cliente registradas</t>
  </si>
  <si>
    <t xml:space="preserve">MAN-08</t>
  </si>
  <si>
    <t xml:space="preserve">Tiempo de carga y envío del formulario en red móvil 4G</t>
  </si>
  <si>
    <t xml:space="preserve">Celular con 4G; servidor cercano a producción</t>
  </si>
  <si>
    <t xml:space="preserve">Medir carga inicial y envío con la herramienta de rendimiento del navegador</t>
  </si>
  <si>
    <t xml:space="preserve">Envío completado en 3 s o menos</t>
  </si>
  <si>
    <t xml:space="preserve">MAN-09</t>
  </si>
  <si>
    <t xml:space="preserve">RNF-01, RF-14</t>
  </si>
  <si>
    <t xml:space="preserve">Prueba con 2 o 3 operarios reales</t>
  </si>
  <si>
    <t xml:space="preserve">Operarios sin entrenamiento previo</t>
  </si>
  <si>
    <t xml:space="preserve">Pedirles reportar una falla simulada y cronometrar</t>
  </si>
  <si>
    <t xml:space="preserve">Escenario ficticio</t>
  </si>
  <si>
    <t xml:space="preserve">Completan el reporte sin ayuda; se anotan dudas y tiempo</t>
  </si>
  <si>
    <t xml:space="preserve">MAN-10</t>
  </si>
  <si>
    <t xml:space="preserve">Varios</t>
  </si>
  <si>
    <t xml:space="preserve">CU-01 a CU-14</t>
  </si>
  <si>
    <t xml:space="preserve">Aceptación (UAT) con la Jefatura de Mantenimiento</t>
  </si>
  <si>
    <t xml:space="preserve">Prototipo desplegado en el entorno acordado</t>
  </si>
  <si>
    <t xml:space="preserve">Recorrer el flujo completo con datos ficticios</t>
  </si>
  <si>
    <t xml:space="preserve">Escenario de demo</t>
  </si>
  <si>
    <t xml:space="preserve">Jefatura confirma o detalla cambios por escrito</t>
  </si>
  <si>
    <t xml:space="preserve">BLQ-01</t>
  </si>
  <si>
    <t xml:space="preserve">RF-12, RF-13</t>
  </si>
  <si>
    <t xml:space="preserve">Adjuntar de 1 a 3 fotos y rechazar la cuarta</t>
  </si>
  <si>
    <t xml:space="preserve">Construir la carga de fotos</t>
  </si>
  <si>
    <t xml:space="preserve">Adjuntar tres imágenes y luego intentar una cuarta</t>
  </si>
  <si>
    <t xml:space="preserve">Imágenes de prueba</t>
  </si>
  <si>
    <t xml:space="preserve">Tres fotos aceptadas; la cuarta es rechazada</t>
  </si>
  <si>
    <t xml:space="preserve">Depende de funcionalidad aún no construida.</t>
  </si>
  <si>
    <t xml:space="preserve">BLQ-02</t>
  </si>
  <si>
    <t xml:space="preserve">Rechazar imágenes demasiado pesadas o de formato no permitido</t>
  </si>
  <si>
    <t xml:space="preserve">Subir una imagen sobre el límite y un archivo no imagen</t>
  </si>
  <si>
    <t xml:space="preserve">Archivos de prueba</t>
  </si>
  <si>
    <t xml:space="preserve">Ambos rechazados con mensaje claro</t>
  </si>
  <si>
    <t xml:space="preserve">BLQ-03</t>
  </si>
  <si>
    <t xml:space="preserve">Ver la evidencia en el detalle de la incidencia</t>
  </si>
  <si>
    <t xml:space="preserve">Abrir el detalle de una incidencia con fotos</t>
  </si>
  <si>
    <t xml:space="preserve">Incidencia con fotos</t>
  </si>
  <si>
    <t xml:space="preserve">Las fotos se muestran solo a Jefatura autenticada</t>
  </si>
  <si>
    <t xml:space="preserve">BLQ-04</t>
  </si>
  <si>
    <t xml:space="preserve">Integración</t>
  </si>
  <si>
    <t xml:space="preserve">RF-36, RF-37</t>
  </si>
  <si>
    <t xml:space="preserve">Envío real a Casa Central y guardado del id de orden de trabajo</t>
  </si>
  <si>
    <t xml:space="preserve">Contrato técnico y sandbox de Mallplaza</t>
  </si>
  <si>
    <t xml:space="preserve">Registrar una incidencia y esperar el envío</t>
  </si>
  <si>
    <t xml:space="preserve">Se guarda el id externo y el estado pasa a enviado</t>
  </si>
  <si>
    <t xml:space="preserve">BLQ-05</t>
  </si>
  <si>
    <t xml:space="preserve">Auditoría del intento real (fecha, hora y código HTTP)</t>
  </si>
  <si>
    <t xml:space="preserve">Integración real construida</t>
  </si>
  <si>
    <t xml:space="preserve">Revisar el registro de auditoría tras el envío</t>
  </si>
  <si>
    <t xml:space="preserve">Un registro por intento con el código de respuesta</t>
  </si>
  <si>
    <t xml:space="preserve">BLQ-06</t>
  </si>
  <si>
    <t xml:space="preserve">RF-39, RNF-14</t>
  </si>
  <si>
    <t xml:space="preserve">Reintento tras caída o tiempo de espera agotado</t>
  </si>
  <si>
    <t xml:space="preserve">Worker de reintentos construido; sandbox que permita simular fallas</t>
  </si>
  <si>
    <t xml:space="preserve">Simular caída de Casa Central y luego restablecerla</t>
  </si>
  <si>
    <t xml:space="preserve">Los envíos se reintentan y la interfaz del operario no se bloquea</t>
  </si>
  <si>
    <t xml:space="preserve">BLQ-07</t>
  </si>
  <si>
    <t xml:space="preserve">Verificar HTTPS con TLS 1.2 o superior en el entorno desplegado</t>
  </si>
  <si>
    <t xml:space="preserve">Despliegue en AWS con certificado</t>
  </si>
  <si>
    <t xml:space="preserve">Escanear el sitio con una herramienta de verificación TLS</t>
  </si>
  <si>
    <t xml:space="preserve">URL de producción</t>
  </si>
  <si>
    <t xml:space="preserve">Solo TLS 1.2 o superior</t>
  </si>
  <si>
    <t xml:space="preserve">BLQ-08</t>
  </si>
  <si>
    <t xml:space="preserve">Disponibilidad ante la caída de una instancia</t>
  </si>
  <si>
    <t xml:space="preserve">Despliegue en AWS con alta disponibilidad</t>
  </si>
  <si>
    <t xml:space="preserve">Detener una instancia y medir la recuperación</t>
  </si>
  <si>
    <t xml:space="preserve">El servicio sigue respondiendo o se recupera en el tiempo acordado</t>
  </si>
  <si>
    <t xml:space="preserve">Análisis comparativo de metodologías de desarrollo</t>
  </si>
  <si>
    <t xml:space="preserve">Puntajes de 1 (débil) a 5 (muy favorable) propuestos para este proyecto, con su fundamento. Las celdas amarillas (pesos y puntajes) se pueden editar y los resultados se recalculan. Son una evaluación del equipo, no una medición: conviene ajustarlos con su experiencia real y validar con el profesor guía.</t>
  </si>
  <si>
    <t xml:space="preserve">Peso (%)</t>
  </si>
  <si>
    <t xml:space="preserve">Scrum</t>
  </si>
  <si>
    <t xml:space="preserve">Kanban</t>
  </si>
  <si>
    <t xml:space="preserve">XP</t>
  </si>
  <si>
    <t xml:space="preserve">Cascada</t>
  </si>
  <si>
    <t xml:space="preserve">Fundamento de los puntajes</t>
  </si>
  <si>
    <t xml:space="preserve">Adaptación a requisitos cambiantes o pendientes de validación</t>
  </si>
  <si>
    <t xml:space="preserve">Los RF son una propuesta sujeta a revisión del cliente y el contrato con Casa Central sigue abierto. Scrum y XP absorben cambios por iteración; Kanban también, sin hitos; Cascada exige congelar requisitos al inicio.</t>
  </si>
  <si>
    <t xml:space="preserve">Entregas incrementales verificables dentro de 15 semanas</t>
  </si>
  <si>
    <t xml:space="preserve">Scrum entrega software funcional en cada sprint de 2 a 3 semanas. Kanban no fija plazos de iteración. Cascada entrega recién al final.</t>
  </si>
  <si>
    <t xml:space="preserve">Adecuación a un equipo pequeño (3 integrantes)</t>
  </si>
  <si>
    <t xml:space="preserve">Kanban casi no exige ceremonias. Scrum funciona con equipos pequeños. XP exige programación en pares y prácticas técnicas intensas.</t>
  </si>
  <si>
    <t xml:space="preserve">Trazabilidad y evidencia documental para la evaluación académica</t>
  </si>
  <si>
    <t xml:space="preserve">Cascada produce documentación completa. Scrum deja evidencia en backlog, sprints y revisiones. XP documenta poco por diseño.</t>
  </si>
  <si>
    <t xml:space="preserve">Gestión temprana de riesgos e incertidumbre técnica (integración)</t>
  </si>
  <si>
    <t xml:space="preserve">Scrum permite validar la integración con Casa Central en sprints tempranos. Cascada la deja para el final.</t>
  </si>
  <si>
    <t xml:space="preserve">Participación frecuente del sponsor y del cliente</t>
  </si>
  <si>
    <t xml:space="preserve">Scrum prevé revisiones de sprint con el sponsor; XP pide cliente presente. En Cascada el cliente reaparece al final.</t>
  </si>
  <si>
    <t xml:space="preserve">Curva de aprendizaje y costo de adopción</t>
  </si>
  <si>
    <t xml:space="preserve">Kanban y Cascada son simples de adoptar. XP exige disciplina técnica (pruebas primero, pares) que el equipo no practica hoy.</t>
  </si>
  <si>
    <t xml:space="preserve">Suma de pesos (debe ser 100)</t>
  </si>
  <si>
    <t xml:space="preserve">Resultado ponderado (0 a 100)</t>
  </si>
  <si>
    <t xml:space="preserve">Posición</t>
  </si>
  <si>
    <t xml:space="preserve">Metodología con mayor puntaje</t>
  </si>
  <si>
    <t xml:space="preserve">Análisis de sensibilidad (¿cambia el resultado si se mueven los pesos?)</t>
  </si>
  <si>
    <t xml:space="preserve">Escenario</t>
  </si>
  <si>
    <t xml:space="preserve">Lectura</t>
  </si>
  <si>
    <t xml:space="preserve">A. Sin el criterio de trazabilidad documental (el que más favorece a Cascada)</t>
  </si>
  <si>
    <t xml:space="preserve">B. Todos los criterios con el mismo peso</t>
  </si>
  <si>
    <t xml:space="preserve">C. Sin el criterio de equipo pequeño (el que más favorece a Kanban)</t>
  </si>
  <si>
    <t xml:space="preserve">Análisis comparativo de tecnologías (backend y base de datos)</t>
  </si>
  <si>
    <t xml:space="preserve">Pesos y puntajes tomados de docs/seleccion-tecnologias.md (de 1 a 5). Se agrega un análisis de sensibilidad: el criterio de 'ajuste al stack definido' favorece a la tecnología ya elegida, así que se recalcula sin él para comprobar que la conclusión no depende solo de eso.</t>
  </si>
  <si>
    <t xml:space="preserve">Backend: criterio</t>
  </si>
  <si>
    <t xml:space="preserve">Node.js + Express</t>
  </si>
  <si>
    <t xml:space="preserve">Python + Django REST</t>
  </si>
  <si>
    <t xml:space="preserve">Java + Spring Boot</t>
  </si>
  <si>
    <t xml:space="preserve">Ajuste a equipo y stack definido</t>
  </si>
  <si>
    <t xml:space="preserve">Velocidad para API y MVP</t>
  </si>
  <si>
    <t xml:space="preserve">Ecosistema y mantenimiento</t>
  </si>
  <si>
    <t xml:space="preserve">Integración con PWA y JSON</t>
  </si>
  <si>
    <t xml:space="preserve">Control explícito del diseño</t>
  </si>
  <si>
    <t xml:space="preserve">Facilidad de despliegue en AWS</t>
  </si>
  <si>
    <t xml:space="preserve">Curva y costo de operación inicial</t>
  </si>
  <si>
    <t xml:space="preserve">Sin el criterio 'ajuste a equipo y stack' (renormalizado)</t>
  </si>
  <si>
    <t xml:space="preserve">Mayor puntaje (sin el criterio de ajuste)</t>
  </si>
  <si>
    <t xml:space="preserve">Base de datos: criterio</t>
  </si>
  <si>
    <t xml:space="preserve">PostgreSQL</t>
  </si>
  <si>
    <t xml:space="preserve">MySQL</t>
  </si>
  <si>
    <t xml:space="preserve">MongoDB</t>
  </si>
  <si>
    <t xml:space="preserve">Integridad relacional, claves foráneas, CHECK y triggers</t>
  </si>
  <si>
    <t xml:space="preserve">Consultas SQL y agregaciones para KPI</t>
  </si>
  <si>
    <t xml:space="preserve">Tipos y restricciones útiles al dominio</t>
  </si>
  <si>
    <t xml:space="preserve">Operación administrada en AWS</t>
  </si>
  <si>
    <t xml:space="preserve">Ajuste al esquema aprobado</t>
  </si>
  <si>
    <t xml:space="preserve">Sin el criterio 'ajuste al esquema aprobado' (renormalizado)</t>
  </si>
  <si>
    <t xml:space="preserve">Factibilidad económica: inversión, costo operativo y recuperación</t>
  </si>
  <si>
    <t xml:space="preserve">Cifras de entrada tomadas del Informe 1 y del documento de definición arquitectónica (celdas amarillas, editables). El ahorro bruto es el desperdicio de coordinación que estima el Informe 1; el 'porcentaje de captura' es la parte de ese ahorro que el sistema logra realmente, que es el supuesto más incierto.</t>
  </si>
  <si>
    <t xml:space="preserve">Concepto</t>
  </si>
  <si>
    <t xml:space="preserve">Valor</t>
  </si>
  <si>
    <t xml:space="preserve">Unidad</t>
  </si>
  <si>
    <t xml:space="preserve">Fuente</t>
  </si>
  <si>
    <t xml:space="preserve">Incidencias coordinadas por informalidad al día</t>
  </si>
  <si>
    <t xml:space="preserve">incidencias</t>
  </si>
  <si>
    <t xml:space="preserve">Informe 1, diagnóstico</t>
  </si>
  <si>
    <t xml:space="preserve">Minutos perdidos por incidencia</t>
  </si>
  <si>
    <t xml:space="preserve">minutos</t>
  </si>
  <si>
    <t xml:space="preserve">Días laborales al mes</t>
  </si>
  <si>
    <t xml:space="preserve">días</t>
  </si>
  <si>
    <t xml:space="preserve">Costo de la hora-hombre operativa</t>
  </si>
  <si>
    <t xml:space="preserve">CLP</t>
  </si>
  <si>
    <t xml:space="preserve">Horas-hombre perdidas al mes</t>
  </si>
  <si>
    <t xml:space="preserve">horas</t>
  </si>
  <si>
    <t xml:space="preserve">Cálculo</t>
  </si>
  <si>
    <t xml:space="preserve">Ahorro bruto mensual si el sistema elimina todo el desperdicio</t>
  </si>
  <si>
    <t xml:space="preserve">CLP al mes</t>
  </si>
  <si>
    <t xml:space="preserve">Cálculo (el Informe 1 informa $375.000)</t>
  </si>
  <si>
    <t xml:space="preserve">Costo operativo mensual de la nube (RDS + Elastic Beanstalk)</t>
  </si>
  <si>
    <t xml:space="preserve">Informe 1, ≈ USD 45 a $935</t>
  </si>
  <si>
    <t xml:space="preserve">Inversión inicial, presupuesto del Informe 1</t>
  </si>
  <si>
    <t xml:space="preserve">Suma del desglose (tabla de abajo)</t>
  </si>
  <si>
    <t xml:space="preserve">Inversión inicial (CAPEX), documento de definición arquitectónica</t>
  </si>
  <si>
    <t xml:space="preserve">728 horas-hombre y AWS por 15 semanas</t>
  </si>
  <si>
    <t xml:space="preserve">Diferencia entre ambos presupuestos</t>
  </si>
  <si>
    <t xml:space="preserve">Hay que reconciliarlos</t>
  </si>
  <si>
    <t xml:space="preserve">Desglose del presupuesto del Informe 1</t>
  </si>
  <si>
    <t xml:space="preserve">Monto (CLP)</t>
  </si>
  <si>
    <t xml:space="preserve">Licencias de aplicaciones</t>
  </si>
  <si>
    <t xml:space="preserve">Servicios profesionales</t>
  </si>
  <si>
    <t xml:space="preserve">Hardware y software básico</t>
  </si>
  <si>
    <t xml:space="preserve">Recursos humanos</t>
  </si>
  <si>
    <t xml:space="preserve">Capacitación</t>
  </si>
  <si>
    <t xml:space="preserve">Gastos de viaje (visitas a terreno)</t>
  </si>
  <si>
    <t xml:space="preserve">Infraestructura AWS (15 semanas)</t>
  </si>
  <si>
    <t xml:space="preserve">Escenario de captura del ahorro</t>
  </si>
  <si>
    <t xml:space="preserve">Ahorro neto mensual (CLP)</t>
  </si>
  <si>
    <t xml:space="preserve">Recuperación con el presupuesto del Informe 1 (meses)</t>
  </si>
  <si>
    <t xml:space="preserve">Recuperación con el CAPEX del documento arquitectónico (meses)</t>
  </si>
  <si>
    <t xml:space="preserve">Acumulado neto a 5 años, presupuesto del Informe 1 (CLP)</t>
  </si>
  <si>
    <t xml:space="preserve">Captura mínima para recuperar la inversión en 5 años (presupuesto del Informe 1)</t>
  </si>
  <si>
    <t xml:space="preserve">Captura mínima para recuperar la inversión en 3 años (presupuesto del Informe 1)</t>
  </si>
  <si>
    <t xml:space="preserve">Nota: el 'costo' de recursos humanos valora las horas de los estudiantes bajo el modelo de fábrica de software; no es un desembolso de Mallplaza. El costo real para el cliente depende del precio comercial que se acuerde. Las 75 horas mensuales son una estimación del Informe 1, no una medición.</t>
  </si>
</sst>
</file>

<file path=xl/styles.xml><?xml version="1.0" encoding="utf-8"?>
<styleSheet xmlns="http://schemas.openxmlformats.org/spreadsheetml/2006/main">
  <numFmts count="7">
    <numFmt numFmtId="164" formatCode="General"/>
    <numFmt numFmtId="165" formatCode="General"/>
    <numFmt numFmtId="166" formatCode="0%"/>
    <numFmt numFmtId="167" formatCode="0.0"/>
    <numFmt numFmtId="168" formatCode="#,##0"/>
    <numFmt numFmtId="169" formatCode="#,##0.0"/>
    <numFmt numFmtId="170"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color rgb="FFFFFFFF"/>
      <name val="Arial"/>
      <family val="0"/>
      <charset val="1"/>
    </font>
    <font>
      <sz val="9"/>
      <name val="Arial"/>
      <family val="0"/>
      <charset val="1"/>
    </font>
    <font>
      <b val="true"/>
      <sz val="10"/>
      <name val="Arial"/>
      <family val="0"/>
      <charset val="1"/>
    </font>
    <font>
      <b val="true"/>
      <sz val="11"/>
      <name val="Arial"/>
      <family val="0"/>
      <charset val="1"/>
    </font>
    <font>
      <b val="true"/>
      <sz val="9"/>
      <name val="Arial"/>
      <family val="0"/>
      <charset val="1"/>
    </font>
  </fonts>
  <fills count="10">
    <fill>
      <patternFill patternType="none"/>
    </fill>
    <fill>
      <patternFill patternType="gray125"/>
    </fill>
    <fill>
      <patternFill patternType="solid">
        <fgColor rgb="FFBD1737"/>
        <bgColor rgb="FF993366"/>
      </patternFill>
    </fill>
    <fill>
      <patternFill patternType="solid">
        <fgColor rgb="FFC6EFCE"/>
        <bgColor rgb="FFE2F0D9"/>
      </patternFill>
    </fill>
    <fill>
      <patternFill patternType="solid">
        <fgColor rgb="FFE2F0D9"/>
        <bgColor rgb="FFDDEBF7"/>
      </patternFill>
    </fill>
    <fill>
      <patternFill patternType="solid">
        <fgColor rgb="FFFFEB9C"/>
        <bgColor rgb="FFFFF2CC"/>
      </patternFill>
    </fill>
    <fill>
      <patternFill patternType="solid">
        <fgColor rgb="FFFCE4D6"/>
        <bgColor rgb="FFFFF2CC"/>
      </patternFill>
    </fill>
    <fill>
      <patternFill patternType="solid">
        <fgColor rgb="FFF4B6B6"/>
        <bgColor rgb="FFFF99CC"/>
      </patternFill>
    </fill>
    <fill>
      <patternFill patternType="solid">
        <fgColor rgb="FFDDEBF7"/>
        <bgColor rgb="FFE2F0D9"/>
      </patternFill>
    </fill>
    <fill>
      <patternFill patternType="solid">
        <fgColor rgb="FFFFF2CC"/>
        <bgColor rgb="FFFCE4D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7" fontId="8" fillId="4" borderId="1" xfId="0" applyFont="true" applyBorder="true" applyAlignment="true" applyProtection="false">
      <alignment horizontal="center" vertical="top" textRotation="0" wrapText="true" indent="0" shrinkToFit="false"/>
      <protection locked="true" hidden="false"/>
    </xf>
    <xf numFmtId="165" fontId="8"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7" fontId="7" fillId="4" borderId="1" xfId="0" applyFont="true" applyBorder="true" applyAlignment="true" applyProtection="false">
      <alignment horizontal="center" vertical="top" textRotation="0" wrapText="true" indent="0" shrinkToFit="false"/>
      <protection locked="true" hidden="false"/>
    </xf>
    <xf numFmtId="168" fontId="7" fillId="9" borderId="1" xfId="0" applyFont="true" applyBorder="true" applyAlignment="true" applyProtection="false">
      <alignment horizontal="center" vertical="top" textRotation="0" wrapText="true" indent="0" shrinkToFit="false"/>
      <protection locked="true" hidden="false"/>
    </xf>
    <xf numFmtId="169" fontId="8" fillId="4" borderId="1" xfId="0" applyFont="true" applyBorder="true" applyAlignment="true" applyProtection="false">
      <alignment horizontal="center" vertical="top" textRotation="0" wrapText="true" indent="0" shrinkToFit="false"/>
      <protection locked="true" hidden="false"/>
    </xf>
    <xf numFmtId="168" fontId="8" fillId="4" borderId="1" xfId="0" applyFont="true" applyBorder="true" applyAlignment="true" applyProtection="false">
      <alignment horizontal="center" vertical="top" textRotation="0" wrapText="true" indent="0" shrinkToFit="false"/>
      <protection locked="true" hidden="false"/>
    </xf>
    <xf numFmtId="168" fontId="7" fillId="4"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9" borderId="1" xfId="0" applyFont="true" applyBorder="true" applyAlignment="true" applyProtection="false">
      <alignment horizontal="center" vertical="top" textRotation="0" wrapText="true" indent="0" shrinkToFit="false"/>
      <protection locked="true" hidden="false"/>
    </xf>
    <xf numFmtId="170" fontId="8"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BD1737"/>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E2F0D9"/>
          <bgColor rgb="FF000000"/>
        </patternFill>
      </fill>
    </dxf>
    <dxf>
      <fill>
        <patternFill patternType="solid">
          <fgColor rgb="FFF4B6B6"/>
          <bgColor rgb="FF000000"/>
        </patternFill>
      </fill>
    </dxf>
    <dxf>
      <fill>
        <patternFill patternType="solid">
          <fgColor rgb="FFFCE4D6"/>
          <bgColor rgb="FF000000"/>
        </patternFill>
      </fill>
    </dxf>
    <dxf>
      <fill>
        <patternFill patternType="solid">
          <fgColor rgb="FFFFEB9C"/>
          <bgColor rgb="FF000000"/>
        </patternFill>
      </fill>
    </dxf>
    <dxf>
      <fill>
        <patternFill>
          <bgColor rgb="FFC6EFCE"/>
        </patternFill>
      </fill>
    </dxf>
    <dxf>
      <fill>
        <patternFill>
          <bgColor rgb="FFE2F0D9"/>
        </patternFill>
      </fill>
    </dxf>
    <dxf>
      <fill>
        <patternFill>
          <bgColor rgb="FFFFEB9C"/>
        </patternFill>
      </fill>
    </dxf>
    <dxf>
      <fill>
        <patternFill>
          <bgColor rgb="FFFCE4D6"/>
        </patternFill>
      </fill>
    </dxf>
    <dxf>
      <fill>
        <patternFill>
          <bgColor rgb="FFF4B6B6"/>
        </patternFill>
      </fill>
    </dxf>
    <dxf>
      <fill>
        <patternFill>
          <bgColor rgb="FFDDEBF7"/>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BD1737"/>
      <rgbColor rgb="FFFFF2CC"/>
      <rgbColor rgb="FFDDEBF7"/>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E2F0D9"/>
      <rgbColor rgb="FFC6EFCE"/>
      <rgbColor rgb="FFFFEB9C"/>
      <rgbColor rgb="FF99CCFF"/>
      <rgbColor rgb="FFFF99CC"/>
      <rgbColor rgb="FFCC99FF"/>
      <rgbColor rgb="FFF4B6B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6"/>
    <col collapsed="false" customWidth="true" hidden="false" outlineLevel="0" max="3" min="3" style="0" width="12"/>
    <col collapsed="false" customWidth="true" hidden="false" outlineLevel="0" max="4" min="4" style="0" width="16"/>
    <col collapsed="false" customWidth="true" hidden="false" outlineLevel="0" max="5" min="5" style="0" width="12"/>
    <col collapsed="false" customWidth="true" hidden="false" outlineLevel="0" max="7" min="7" style="0" width="34"/>
    <col collapsed="false" customWidth="true" hidden="false" outlineLevel="0" max="8" min="8" style="0" width="12"/>
  </cols>
  <sheetData>
    <row r="1" customFormat="false" ht="17.35" hidden="false" customHeight="false" outlineLevel="0" collapsed="false">
      <c r="A1" s="1" t="s">
        <v>0</v>
      </c>
    </row>
    <row r="2" customFormat="false" ht="15" hidden="false" customHeight="false" outlineLevel="0" collapsed="false">
      <c r="A2" s="2" t="s">
        <v>1</v>
      </c>
      <c r="B2" s="2"/>
      <c r="C2" s="2"/>
      <c r="D2" s="2"/>
      <c r="E2" s="2"/>
    </row>
    <row r="4" customFormat="false" ht="15" hidden="false" customHeight="false" outlineLevel="0" collapsed="false">
      <c r="A4" s="3" t="s">
        <v>2</v>
      </c>
      <c r="B4" s="3" t="s">
        <v>3</v>
      </c>
      <c r="C4" s="3" t="s">
        <v>4</v>
      </c>
      <c r="D4" s="3" t="s">
        <v>5</v>
      </c>
      <c r="E4" s="3" t="s">
        <v>6</v>
      </c>
      <c r="G4" s="3" t="s">
        <v>7</v>
      </c>
      <c r="H4" s="3" t="s">
        <v>8</v>
      </c>
    </row>
    <row r="5" customFormat="false" ht="15" hidden="false" customHeight="false" outlineLevel="0" collapsed="false">
      <c r="A5" s="4" t="s">
        <v>9</v>
      </c>
      <c r="B5" s="5" t="n">
        <f aca="false">COUNTIF('Matriz RF'!$H$5:$H$44,A5)</f>
        <v>29</v>
      </c>
      <c r="C5" s="6" t="n">
        <f aca="false">B5/$B$11</f>
        <v>0.725</v>
      </c>
      <c r="D5" s="5" t="n">
        <f aca="false">COUNTIF('Matriz RNF'!$F$5:$F$18,A5)</f>
        <v>3</v>
      </c>
      <c r="E5" s="6" t="n">
        <f aca="false">D5/$D$11</f>
        <v>0.214285714285714</v>
      </c>
      <c r="G5" s="5" t="s">
        <v>10</v>
      </c>
      <c r="H5" s="5" t="n">
        <f aca="false">COUNTIF('Casos de prueba'!$L$5:$L$68,G5)</f>
        <v>45</v>
      </c>
    </row>
    <row r="6" customFormat="false" ht="15" hidden="false" customHeight="false" outlineLevel="0" collapsed="false">
      <c r="A6" s="7" t="s">
        <v>11</v>
      </c>
      <c r="B6" s="5" t="n">
        <f aca="false">COUNTIF('Matriz RF'!$H$5:$H$44,A6)</f>
        <v>2</v>
      </c>
      <c r="C6" s="6" t="n">
        <f aca="false">B6/$B$11</f>
        <v>0.05</v>
      </c>
      <c r="D6" s="5" t="n">
        <f aca="false">COUNTIF('Matriz RNF'!$F$5:$F$18,A6)</f>
        <v>2</v>
      </c>
      <c r="E6" s="6" t="n">
        <f aca="false">D6/$D$11</f>
        <v>0.142857142857143</v>
      </c>
      <c r="G6" s="5" t="s">
        <v>12</v>
      </c>
      <c r="H6" s="5" t="n">
        <f aca="false">COUNTIF('Casos de prueba'!$L$5:$L$68,G6)</f>
        <v>1</v>
      </c>
    </row>
    <row r="7" customFormat="false" ht="15" hidden="false" customHeight="false" outlineLevel="0" collapsed="false">
      <c r="A7" s="8" t="s">
        <v>13</v>
      </c>
      <c r="B7" s="5" t="n">
        <f aca="false">COUNTIF('Matriz RF'!$H$5:$H$44,A7)</f>
        <v>5</v>
      </c>
      <c r="C7" s="6" t="n">
        <f aca="false">B7/$B$11</f>
        <v>0.125</v>
      </c>
      <c r="D7" s="5" t="n">
        <f aca="false">COUNTIF('Matriz RNF'!$F$5:$F$18,A7)</f>
        <v>4</v>
      </c>
      <c r="E7" s="6" t="n">
        <f aca="false">D7/$D$11</f>
        <v>0.285714285714286</v>
      </c>
      <c r="G7" s="5" t="s">
        <v>14</v>
      </c>
      <c r="H7" s="5" t="n">
        <f aca="false">COUNTIF('Casos de prueba'!$L$5:$L$68,G7)</f>
        <v>10</v>
      </c>
    </row>
    <row r="8" customFormat="false" ht="15" hidden="false" customHeight="false" outlineLevel="0" collapsed="false">
      <c r="A8" s="9" t="s">
        <v>15</v>
      </c>
      <c r="B8" s="5" t="n">
        <f aca="false">COUNTIF('Matriz RF'!$H$5:$H$44,A8)</f>
        <v>1</v>
      </c>
      <c r="C8" s="6" t="n">
        <f aca="false">B8/$B$11</f>
        <v>0.025</v>
      </c>
      <c r="D8" s="5" t="n">
        <f aca="false">COUNTIF('Matriz RNF'!$F$5:$F$18,A8)</f>
        <v>0</v>
      </c>
      <c r="E8" s="6" t="n">
        <f aca="false">D8/$D$11</f>
        <v>0</v>
      </c>
      <c r="G8" s="5" t="s">
        <v>16</v>
      </c>
      <c r="H8" s="5" t="n">
        <f aca="false">COUNTIF('Casos de prueba'!$L$5:$L$68,G8)</f>
        <v>8</v>
      </c>
    </row>
    <row r="9" customFormat="false" ht="15" hidden="false" customHeight="false" outlineLevel="0" collapsed="false">
      <c r="A9" s="10" t="s">
        <v>17</v>
      </c>
      <c r="B9" s="5" t="n">
        <f aca="false">COUNTIF('Matriz RF'!$H$5:$H$44,A9)</f>
        <v>3</v>
      </c>
      <c r="C9" s="6" t="n">
        <f aca="false">B9/$B$11</f>
        <v>0.075</v>
      </c>
      <c r="D9" s="5" t="n">
        <f aca="false">COUNTIF('Matriz RNF'!$F$5:$F$18,A9)</f>
        <v>3</v>
      </c>
      <c r="E9" s="6" t="n">
        <f aca="false">D9/$D$11</f>
        <v>0.214285714285714</v>
      </c>
      <c r="G9" s="11" t="s">
        <v>18</v>
      </c>
      <c r="H9" s="11" t="n">
        <f aca="false">SUM(H5:H8)</f>
        <v>64</v>
      </c>
    </row>
    <row r="10" customFormat="false" ht="15" hidden="false" customHeight="false" outlineLevel="0" collapsed="false">
      <c r="A10" s="12" t="s">
        <v>19</v>
      </c>
      <c r="B10" s="5" t="n">
        <f aca="false">COUNTIF('Matriz RF'!$H$5:$H$44,A10)</f>
        <v>0</v>
      </c>
      <c r="C10" s="6" t="n">
        <f aca="false">B10/$B$11</f>
        <v>0</v>
      </c>
      <c r="D10" s="5" t="n">
        <f aca="false">COUNTIF('Matriz RNF'!$F$5:$F$18,A10)</f>
        <v>2</v>
      </c>
      <c r="E10" s="6" t="n">
        <f aca="false">D10/$D$11</f>
        <v>0.142857142857143</v>
      </c>
    </row>
    <row r="11" customFormat="false" ht="15" hidden="false" customHeight="false" outlineLevel="0" collapsed="false">
      <c r="A11" s="11" t="s">
        <v>18</v>
      </c>
      <c r="B11" s="11" t="n">
        <f aca="false">SUM(B5:B10)</f>
        <v>40</v>
      </c>
      <c r="C11" s="13" t="n">
        <f aca="false">SUM(C5:C10)</f>
        <v>1</v>
      </c>
      <c r="D11" s="11" t="n">
        <f aca="false">SUM(D5:D10)</f>
        <v>14</v>
      </c>
      <c r="E11" s="13" t="n">
        <f aca="false">SUM(E5:E10)</f>
        <v>1</v>
      </c>
    </row>
    <row r="13" customFormat="false" ht="15" hidden="false" customHeight="false" outlineLevel="0" collapsed="false">
      <c r="A13" s="14" t="s">
        <v>20</v>
      </c>
      <c r="B13" s="14" t="n">
        <f aca="false">B5+B6</f>
        <v>31</v>
      </c>
      <c r="C13" s="15" t="n">
        <f aca="false">B13/B11</f>
        <v>0.775</v>
      </c>
    </row>
    <row r="14" customFormat="false" ht="15" hidden="false" customHeight="false" outlineLevel="0" collapsed="false">
      <c r="A14" s="14" t="s">
        <v>21</v>
      </c>
      <c r="B14" s="14" t="n">
        <f aca="false">B7+B8+B9</f>
        <v>9</v>
      </c>
      <c r="C14" s="15" t="n">
        <f aca="false">B14/B11</f>
        <v>0.225</v>
      </c>
    </row>
    <row r="16" customFormat="false" ht="15" hidden="false" customHeight="false" outlineLevel="0" collapsed="false">
      <c r="A16" s="16" t="s">
        <v>22</v>
      </c>
    </row>
    <row r="17" customFormat="false" ht="15" hidden="false" customHeight="false" outlineLevel="0" collapsed="false">
      <c r="A17" s="3" t="s">
        <v>23</v>
      </c>
      <c r="B17" s="3" t="s">
        <v>18</v>
      </c>
      <c r="C17" s="3" t="s">
        <v>24</v>
      </c>
      <c r="D17" s="3" t="s">
        <v>25</v>
      </c>
      <c r="E17" s="3" t="s">
        <v>26</v>
      </c>
    </row>
    <row r="18" customFormat="false" ht="15" hidden="false" customHeight="false" outlineLevel="0" collapsed="false">
      <c r="A18" s="5" t="s">
        <v>27</v>
      </c>
      <c r="B18" s="5" t="n">
        <f aca="false">COUNTIF('Matriz RF'!$D$5:$D$44,A18)</f>
        <v>18</v>
      </c>
      <c r="C18" s="5" t="n">
        <f aca="false">COUNTIFS('Matriz RF'!$D$5:$D$44,A18,'Matriz RF'!$H$5:$H$44,"Implementado y probado")+COUNTIFS('Matriz RF'!$D$5:$D$44,A18,'Matriz RF'!$H$5:$H$44,"Implementado")</f>
        <v>17</v>
      </c>
      <c r="D18" s="5" t="n">
        <f aca="false">COUNTIFS('Matriz RF'!$D$5:$D$44,A18,'Matriz RF'!$H$5:$H$44,"Parcial")+COUNTIFS('Matriz RF'!$D$5:$D$44,A18,'Matriz RF'!$H$5:$H$44,"Mock")</f>
        <v>1</v>
      </c>
      <c r="E18" s="5" t="n">
        <f aca="false">COUNTIFS('Matriz RF'!$D$5:$D$44,A18,'Matriz RF'!$H$5:$H$44,"Pendiente")</f>
        <v>0</v>
      </c>
    </row>
    <row r="19" customFormat="false" ht="15" hidden="false" customHeight="false" outlineLevel="0" collapsed="false">
      <c r="A19" s="5" t="s">
        <v>28</v>
      </c>
      <c r="B19" s="5" t="n">
        <f aca="false">COUNTIF('Matriz RF'!$D$5:$D$44,A19)</f>
        <v>13</v>
      </c>
      <c r="C19" s="5" t="n">
        <f aca="false">COUNTIFS('Matriz RF'!$D$5:$D$44,A19,'Matriz RF'!$H$5:$H$44,"Implementado y probado")+COUNTIFS('Matriz RF'!$D$5:$D$44,A19,'Matriz RF'!$H$5:$H$44,"Implementado")</f>
        <v>10</v>
      </c>
      <c r="D19" s="5" t="n">
        <f aca="false">COUNTIFS('Matriz RF'!$D$5:$D$44,A19,'Matriz RF'!$H$5:$H$44,"Parcial")+COUNTIFS('Matriz RF'!$D$5:$D$44,A19,'Matriz RF'!$H$5:$H$44,"Mock")</f>
        <v>2</v>
      </c>
      <c r="E19" s="5" t="n">
        <f aca="false">COUNTIFS('Matriz RF'!$D$5:$D$44,A19,'Matriz RF'!$H$5:$H$44,"Pendiente")</f>
        <v>1</v>
      </c>
    </row>
    <row r="20" customFormat="false" ht="15" hidden="false" customHeight="false" outlineLevel="0" collapsed="false">
      <c r="A20" s="5" t="s">
        <v>29</v>
      </c>
      <c r="B20" s="5" t="n">
        <f aca="false">COUNTIF('Matriz RF'!$D$5:$D$44,A20)</f>
        <v>4</v>
      </c>
      <c r="C20" s="5" t="n">
        <f aca="false">COUNTIFS('Matriz RF'!$D$5:$D$44,A20,'Matriz RF'!$H$5:$H$44,"Implementado y probado")+COUNTIFS('Matriz RF'!$D$5:$D$44,A20,'Matriz RF'!$H$5:$H$44,"Implementado")</f>
        <v>2</v>
      </c>
      <c r="D20" s="5" t="n">
        <f aca="false">COUNTIFS('Matriz RF'!$D$5:$D$44,A20,'Matriz RF'!$H$5:$H$44,"Parcial")+COUNTIFS('Matriz RF'!$D$5:$D$44,A20,'Matriz RF'!$H$5:$H$44,"Mock")</f>
        <v>1</v>
      </c>
      <c r="E20" s="5" t="n">
        <f aca="false">COUNTIFS('Matriz RF'!$D$5:$D$44,A20,'Matriz RF'!$H$5:$H$44,"Pendiente")</f>
        <v>1</v>
      </c>
    </row>
    <row r="21" customFormat="false" ht="15" hidden="false" customHeight="false" outlineLevel="0" collapsed="false">
      <c r="A21" s="5" t="s">
        <v>30</v>
      </c>
      <c r="B21" s="5" t="n">
        <f aca="false">COUNTIF('Matriz RF'!$D$5:$D$44,A21)</f>
        <v>5</v>
      </c>
      <c r="C21" s="5" t="n">
        <f aca="false">COUNTIFS('Matriz RF'!$D$5:$D$44,A21,'Matriz RF'!$H$5:$H$44,"Implementado y probado")+COUNTIFS('Matriz RF'!$D$5:$D$44,A21,'Matriz RF'!$H$5:$H$44,"Implementado")</f>
        <v>2</v>
      </c>
      <c r="D21" s="5" t="n">
        <f aca="false">COUNTIFS('Matriz RF'!$D$5:$D$44,A21,'Matriz RF'!$H$5:$H$44,"Parcial")+COUNTIFS('Matriz RF'!$D$5:$D$44,A21,'Matriz RF'!$H$5:$H$44,"Mock")</f>
        <v>2</v>
      </c>
      <c r="E21" s="5" t="n">
        <f aca="false">COUNTIFS('Matriz RF'!$D$5:$D$44,A21,'Matriz RF'!$H$5:$H$44,"Pendiente")</f>
        <v>1</v>
      </c>
    </row>
    <row r="23" customFormat="false" ht="15" hidden="false" customHeight="false" outlineLevel="0" collapsed="false">
      <c r="A23" s="16" t="s">
        <v>31</v>
      </c>
    </row>
    <row r="24" customFormat="false" ht="15" hidden="false" customHeight="false" outlineLevel="0" collapsed="false">
      <c r="A24" s="17" t="s">
        <v>32</v>
      </c>
      <c r="B24" s="17"/>
      <c r="C24" s="17"/>
      <c r="D24" s="17"/>
      <c r="E24" s="17"/>
    </row>
    <row r="25" customFormat="false" ht="15" hidden="false" customHeight="false" outlineLevel="0" collapsed="false">
      <c r="A25" s="17" t="s">
        <v>33</v>
      </c>
      <c r="B25" s="17"/>
      <c r="C25" s="17"/>
      <c r="D25" s="17"/>
      <c r="E25" s="17"/>
    </row>
    <row r="26" customFormat="false" ht="15" hidden="false" customHeight="false" outlineLevel="0" collapsed="false">
      <c r="A26" s="17" t="s">
        <v>34</v>
      </c>
      <c r="B26" s="17"/>
      <c r="C26" s="17"/>
      <c r="D26" s="17"/>
      <c r="E26" s="17"/>
    </row>
    <row r="27" customFormat="false" ht="15" hidden="false" customHeight="false" outlineLevel="0" collapsed="false">
      <c r="A27" s="17" t="s">
        <v>35</v>
      </c>
      <c r="B27" s="17"/>
      <c r="C27" s="17"/>
      <c r="D27" s="17"/>
      <c r="E27" s="17"/>
    </row>
    <row r="28" customFormat="false" ht="15" hidden="false" customHeight="false" outlineLevel="0" collapsed="false">
      <c r="A28" s="17" t="s">
        <v>36</v>
      </c>
      <c r="B28" s="17"/>
      <c r="C28" s="17"/>
      <c r="D28" s="17"/>
      <c r="E28" s="17"/>
    </row>
    <row r="29" customFormat="false" ht="15" hidden="false" customHeight="false" outlineLevel="0" collapsed="false">
      <c r="A29" s="17" t="s">
        <v>37</v>
      </c>
      <c r="B29" s="17"/>
      <c r="C29" s="17"/>
      <c r="D29" s="17"/>
      <c r="E29" s="17"/>
    </row>
  </sheetData>
  <mergeCells count="7">
    <mergeCell ref="A2:E2"/>
    <mergeCell ref="A24:E24"/>
    <mergeCell ref="A25:E25"/>
    <mergeCell ref="A26:E26"/>
    <mergeCell ref="A27:E27"/>
    <mergeCell ref="A28:E28"/>
    <mergeCell ref="A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42"/>
    <col collapsed="false" customWidth="true" hidden="false" outlineLevel="0" max="4" min="4" style="0" width="12"/>
    <col collapsed="false" customWidth="true" hidden="false" outlineLevel="0" max="5" min="5" style="0" width="13"/>
    <col collapsed="false" customWidth="true" hidden="false" outlineLevel="0" max="6" min="6" style="0" width="46"/>
    <col collapsed="false" customWidth="true" hidden="false" outlineLevel="0" max="7" min="7" style="0" width="40"/>
    <col collapsed="false" customWidth="true" hidden="false" outlineLevel="0" max="8" min="8" style="0" width="18"/>
    <col collapsed="false" customWidth="true" hidden="false" outlineLevel="0" max="9" min="9" style="0" width="60"/>
  </cols>
  <sheetData>
    <row r="1" customFormat="false" ht="17.35" hidden="false" customHeight="false" outlineLevel="0" collapsed="false">
      <c r="A1" s="1" t="s">
        <v>38</v>
      </c>
    </row>
    <row r="2" customFormat="false" ht="37.5" hidden="false" customHeight="true" outlineLevel="0" collapsed="false">
      <c r="A2" s="18" t="s">
        <v>39</v>
      </c>
      <c r="B2" s="18"/>
      <c r="C2" s="18"/>
      <c r="D2" s="18"/>
      <c r="E2" s="18"/>
      <c r="F2" s="18"/>
      <c r="G2" s="18"/>
      <c r="H2" s="18"/>
      <c r="I2" s="18"/>
    </row>
    <row r="4" customFormat="false" ht="23.85" hidden="false" customHeight="false" outlineLevel="0" collapsed="false">
      <c r="A4" s="3" t="s">
        <v>40</v>
      </c>
      <c r="B4" s="3" t="s">
        <v>41</v>
      </c>
      <c r="C4" s="3" t="s">
        <v>42</v>
      </c>
      <c r="D4" s="3" t="s">
        <v>23</v>
      </c>
      <c r="E4" s="3" t="s">
        <v>43</v>
      </c>
      <c r="F4" s="3" t="s">
        <v>44</v>
      </c>
      <c r="G4" s="3" t="s">
        <v>45</v>
      </c>
      <c r="H4" s="3" t="s">
        <v>2</v>
      </c>
      <c r="I4" s="3" t="s">
        <v>46</v>
      </c>
    </row>
    <row r="5" customFormat="false" ht="22.35" hidden="false" customHeight="false" outlineLevel="0" collapsed="false">
      <c r="A5" s="19" t="s">
        <v>47</v>
      </c>
      <c r="B5" s="20" t="s">
        <v>48</v>
      </c>
      <c r="C5" s="20" t="s">
        <v>49</v>
      </c>
      <c r="D5" s="21" t="s">
        <v>27</v>
      </c>
      <c r="E5" s="21" t="s">
        <v>50</v>
      </c>
      <c r="F5" s="20" t="s">
        <v>51</v>
      </c>
      <c r="G5" s="20" t="s">
        <v>52</v>
      </c>
      <c r="H5" s="21" t="s">
        <v>9</v>
      </c>
      <c r="I5" s="20"/>
    </row>
    <row r="6" customFormat="false" ht="22.35" hidden="false" customHeight="false" outlineLevel="0" collapsed="false">
      <c r="A6" s="19" t="s">
        <v>53</v>
      </c>
      <c r="B6" s="20" t="s">
        <v>48</v>
      </c>
      <c r="C6" s="20" t="s">
        <v>54</v>
      </c>
      <c r="D6" s="21" t="s">
        <v>27</v>
      </c>
      <c r="E6" s="21" t="s">
        <v>55</v>
      </c>
      <c r="F6" s="20" t="s">
        <v>56</v>
      </c>
      <c r="G6" s="20" t="s">
        <v>57</v>
      </c>
      <c r="H6" s="21" t="s">
        <v>9</v>
      </c>
      <c r="I6" s="20"/>
    </row>
    <row r="7" customFormat="false" ht="22.35" hidden="false" customHeight="false" outlineLevel="0" collapsed="false">
      <c r="A7" s="19" t="s">
        <v>58</v>
      </c>
      <c r="B7" s="20" t="s">
        <v>48</v>
      </c>
      <c r="C7" s="20" t="s">
        <v>59</v>
      </c>
      <c r="D7" s="21" t="s">
        <v>27</v>
      </c>
      <c r="E7" s="21" t="s">
        <v>60</v>
      </c>
      <c r="F7" s="20" t="s">
        <v>61</v>
      </c>
      <c r="G7" s="20" t="s">
        <v>62</v>
      </c>
      <c r="H7" s="21" t="s">
        <v>9</v>
      </c>
      <c r="I7" s="20" t="s">
        <v>63</v>
      </c>
    </row>
    <row r="8" customFormat="false" ht="32.8" hidden="false" customHeight="false" outlineLevel="0" collapsed="false">
      <c r="A8" s="19" t="s">
        <v>64</v>
      </c>
      <c r="B8" s="20" t="s">
        <v>65</v>
      </c>
      <c r="C8" s="20" t="s">
        <v>66</v>
      </c>
      <c r="D8" s="21" t="s">
        <v>27</v>
      </c>
      <c r="E8" s="21" t="s">
        <v>67</v>
      </c>
      <c r="F8" s="20" t="s">
        <v>68</v>
      </c>
      <c r="G8" s="20" t="s">
        <v>69</v>
      </c>
      <c r="H8" s="21" t="s">
        <v>13</v>
      </c>
      <c r="I8" s="20" t="s">
        <v>70</v>
      </c>
    </row>
    <row r="9" customFormat="false" ht="43.25" hidden="false" customHeight="false" outlineLevel="0" collapsed="false">
      <c r="A9" s="19" t="s">
        <v>71</v>
      </c>
      <c r="B9" s="20" t="s">
        <v>65</v>
      </c>
      <c r="C9" s="20" t="s">
        <v>72</v>
      </c>
      <c r="D9" s="21" t="s">
        <v>27</v>
      </c>
      <c r="E9" s="21" t="s">
        <v>73</v>
      </c>
      <c r="F9" s="20" t="s">
        <v>74</v>
      </c>
      <c r="G9" s="20" t="s">
        <v>75</v>
      </c>
      <c r="H9" s="21" t="s">
        <v>9</v>
      </c>
      <c r="I9" s="20" t="s">
        <v>76</v>
      </c>
    </row>
    <row r="10" customFormat="false" ht="22.35" hidden="false" customHeight="false" outlineLevel="0" collapsed="false">
      <c r="A10" s="19" t="s">
        <v>77</v>
      </c>
      <c r="B10" s="20" t="s">
        <v>65</v>
      </c>
      <c r="C10" s="20" t="s">
        <v>78</v>
      </c>
      <c r="D10" s="21" t="s">
        <v>27</v>
      </c>
      <c r="E10" s="21" t="s">
        <v>73</v>
      </c>
      <c r="F10" s="20" t="s">
        <v>79</v>
      </c>
      <c r="G10" s="20" t="s">
        <v>80</v>
      </c>
      <c r="H10" s="21" t="s">
        <v>9</v>
      </c>
      <c r="I10" s="20" t="s">
        <v>81</v>
      </c>
    </row>
    <row r="11" customFormat="false" ht="22.35" hidden="false" customHeight="false" outlineLevel="0" collapsed="false">
      <c r="A11" s="19" t="s">
        <v>82</v>
      </c>
      <c r="B11" s="20" t="s">
        <v>65</v>
      </c>
      <c r="C11" s="20" t="s">
        <v>83</v>
      </c>
      <c r="D11" s="21" t="s">
        <v>27</v>
      </c>
      <c r="E11" s="21" t="s">
        <v>73</v>
      </c>
      <c r="F11" s="20" t="s">
        <v>84</v>
      </c>
      <c r="G11" s="20" t="s">
        <v>85</v>
      </c>
      <c r="H11" s="21" t="s">
        <v>9</v>
      </c>
      <c r="I11" s="20"/>
    </row>
    <row r="12" customFormat="false" ht="22.35" hidden="false" customHeight="false" outlineLevel="0" collapsed="false">
      <c r="A12" s="19" t="s">
        <v>86</v>
      </c>
      <c r="B12" s="20" t="s">
        <v>65</v>
      </c>
      <c r="C12" s="20" t="s">
        <v>87</v>
      </c>
      <c r="D12" s="21" t="s">
        <v>27</v>
      </c>
      <c r="E12" s="21" t="s">
        <v>73</v>
      </c>
      <c r="F12" s="20" t="s">
        <v>88</v>
      </c>
      <c r="G12" s="20" t="s">
        <v>89</v>
      </c>
      <c r="H12" s="21" t="s">
        <v>9</v>
      </c>
      <c r="I12" s="20"/>
    </row>
    <row r="13" customFormat="false" ht="22.35" hidden="false" customHeight="false" outlineLevel="0" collapsed="false">
      <c r="A13" s="19" t="s">
        <v>90</v>
      </c>
      <c r="B13" s="20" t="s">
        <v>65</v>
      </c>
      <c r="C13" s="20" t="s">
        <v>91</v>
      </c>
      <c r="D13" s="21" t="s">
        <v>27</v>
      </c>
      <c r="E13" s="21" t="s">
        <v>73</v>
      </c>
      <c r="F13" s="20" t="s">
        <v>92</v>
      </c>
      <c r="G13" s="20" t="s">
        <v>89</v>
      </c>
      <c r="H13" s="21" t="s">
        <v>9</v>
      </c>
      <c r="I13" s="20"/>
    </row>
    <row r="14" customFormat="false" ht="22.35" hidden="false" customHeight="false" outlineLevel="0" collapsed="false">
      <c r="A14" s="19" t="s">
        <v>93</v>
      </c>
      <c r="B14" s="20" t="s">
        <v>65</v>
      </c>
      <c r="C14" s="20" t="s">
        <v>94</v>
      </c>
      <c r="D14" s="21" t="s">
        <v>27</v>
      </c>
      <c r="E14" s="21" t="s">
        <v>73</v>
      </c>
      <c r="F14" s="20" t="s">
        <v>95</v>
      </c>
      <c r="G14" s="20" t="s">
        <v>89</v>
      </c>
      <c r="H14" s="21" t="s">
        <v>9</v>
      </c>
      <c r="I14" s="20"/>
    </row>
    <row r="15" customFormat="false" ht="22.35" hidden="false" customHeight="false" outlineLevel="0" collapsed="false">
      <c r="A15" s="19" t="s">
        <v>96</v>
      </c>
      <c r="B15" s="20" t="s">
        <v>65</v>
      </c>
      <c r="C15" s="20" t="s">
        <v>97</v>
      </c>
      <c r="D15" s="21" t="s">
        <v>29</v>
      </c>
      <c r="E15" s="21" t="s">
        <v>73</v>
      </c>
      <c r="F15" s="20" t="s">
        <v>98</v>
      </c>
      <c r="G15" s="20" t="s">
        <v>99</v>
      </c>
      <c r="H15" s="21" t="s">
        <v>11</v>
      </c>
      <c r="I15" s="20" t="s">
        <v>100</v>
      </c>
    </row>
    <row r="16" customFormat="false" ht="32.8" hidden="false" customHeight="false" outlineLevel="0" collapsed="false">
      <c r="A16" s="19" t="s">
        <v>101</v>
      </c>
      <c r="B16" s="20" t="s">
        <v>65</v>
      </c>
      <c r="C16" s="20" t="s">
        <v>102</v>
      </c>
      <c r="D16" s="21" t="s">
        <v>29</v>
      </c>
      <c r="E16" s="21" t="s">
        <v>103</v>
      </c>
      <c r="F16" s="20" t="s">
        <v>104</v>
      </c>
      <c r="G16" s="20" t="s">
        <v>105</v>
      </c>
      <c r="H16" s="21" t="s">
        <v>17</v>
      </c>
      <c r="I16" s="20" t="s">
        <v>106</v>
      </c>
    </row>
    <row r="17" customFormat="false" ht="22.35" hidden="false" customHeight="false" outlineLevel="0" collapsed="false">
      <c r="A17" s="19" t="s">
        <v>107</v>
      </c>
      <c r="B17" s="20" t="s">
        <v>65</v>
      </c>
      <c r="C17" s="20" t="s">
        <v>108</v>
      </c>
      <c r="D17" s="21" t="s">
        <v>29</v>
      </c>
      <c r="E17" s="21" t="s">
        <v>103</v>
      </c>
      <c r="F17" s="20" t="s">
        <v>109</v>
      </c>
      <c r="G17" s="20" t="s">
        <v>105</v>
      </c>
      <c r="H17" s="21" t="s">
        <v>13</v>
      </c>
      <c r="I17" s="20" t="s">
        <v>110</v>
      </c>
    </row>
    <row r="18" customFormat="false" ht="22.35" hidden="false" customHeight="false" outlineLevel="0" collapsed="false">
      <c r="A18" s="19" t="s">
        <v>111</v>
      </c>
      <c r="B18" s="20" t="s">
        <v>65</v>
      </c>
      <c r="C18" s="20" t="s">
        <v>112</v>
      </c>
      <c r="D18" s="21" t="s">
        <v>27</v>
      </c>
      <c r="E18" s="21" t="s">
        <v>73</v>
      </c>
      <c r="F18" s="20" t="s">
        <v>113</v>
      </c>
      <c r="G18" s="20" t="s">
        <v>85</v>
      </c>
      <c r="H18" s="21" t="s">
        <v>9</v>
      </c>
      <c r="I18" s="20"/>
    </row>
    <row r="19" customFormat="false" ht="22.35" hidden="false" customHeight="false" outlineLevel="0" collapsed="false">
      <c r="A19" s="19" t="s">
        <v>114</v>
      </c>
      <c r="B19" s="20" t="s">
        <v>65</v>
      </c>
      <c r="C19" s="20" t="s">
        <v>115</v>
      </c>
      <c r="D19" s="21" t="s">
        <v>27</v>
      </c>
      <c r="E19" s="21" t="s">
        <v>73</v>
      </c>
      <c r="F19" s="20" t="s">
        <v>116</v>
      </c>
      <c r="G19" s="20" t="s">
        <v>117</v>
      </c>
      <c r="H19" s="21" t="s">
        <v>9</v>
      </c>
      <c r="I19" s="20"/>
    </row>
    <row r="20" customFormat="false" ht="22.35" hidden="false" customHeight="false" outlineLevel="0" collapsed="false">
      <c r="A20" s="19" t="s">
        <v>118</v>
      </c>
      <c r="B20" s="20" t="s">
        <v>119</v>
      </c>
      <c r="C20" s="20" t="s">
        <v>120</v>
      </c>
      <c r="D20" s="21" t="s">
        <v>27</v>
      </c>
      <c r="E20" s="21" t="s">
        <v>121</v>
      </c>
      <c r="F20" s="20" t="s">
        <v>122</v>
      </c>
      <c r="G20" s="20" t="s">
        <v>123</v>
      </c>
      <c r="H20" s="21" t="s">
        <v>9</v>
      </c>
      <c r="I20" s="20"/>
    </row>
    <row r="21" customFormat="false" ht="22.35" hidden="false" customHeight="false" outlineLevel="0" collapsed="false">
      <c r="A21" s="19" t="s">
        <v>124</v>
      </c>
      <c r="B21" s="20" t="s">
        <v>119</v>
      </c>
      <c r="C21" s="20" t="s">
        <v>125</v>
      </c>
      <c r="D21" s="21" t="s">
        <v>27</v>
      </c>
      <c r="E21" s="21" t="s">
        <v>121</v>
      </c>
      <c r="F21" s="20" t="s">
        <v>126</v>
      </c>
      <c r="G21" s="20" t="s">
        <v>127</v>
      </c>
      <c r="H21" s="21" t="s">
        <v>9</v>
      </c>
      <c r="I21" s="20"/>
    </row>
    <row r="22" customFormat="false" ht="22.35" hidden="false" customHeight="false" outlineLevel="0" collapsed="false">
      <c r="A22" s="19" t="s">
        <v>128</v>
      </c>
      <c r="B22" s="20" t="s">
        <v>119</v>
      </c>
      <c r="C22" s="20" t="s">
        <v>129</v>
      </c>
      <c r="D22" s="21" t="s">
        <v>27</v>
      </c>
      <c r="E22" s="21" t="s">
        <v>121</v>
      </c>
      <c r="F22" s="20" t="s">
        <v>130</v>
      </c>
      <c r="G22" s="20" t="s">
        <v>75</v>
      </c>
      <c r="H22" s="21" t="s">
        <v>9</v>
      </c>
      <c r="I22" s="20"/>
    </row>
    <row r="23" customFormat="false" ht="22.35" hidden="false" customHeight="false" outlineLevel="0" collapsed="false">
      <c r="A23" s="19" t="s">
        <v>131</v>
      </c>
      <c r="B23" s="20" t="s">
        <v>132</v>
      </c>
      <c r="C23" s="20" t="s">
        <v>133</v>
      </c>
      <c r="D23" s="21" t="s">
        <v>27</v>
      </c>
      <c r="E23" s="21" t="s">
        <v>134</v>
      </c>
      <c r="F23" s="20" t="s">
        <v>135</v>
      </c>
      <c r="G23" s="20" t="s">
        <v>136</v>
      </c>
      <c r="H23" s="21" t="s">
        <v>9</v>
      </c>
      <c r="I23" s="20"/>
    </row>
    <row r="24" customFormat="false" ht="22.35" hidden="false" customHeight="false" outlineLevel="0" collapsed="false">
      <c r="A24" s="19" t="s">
        <v>137</v>
      </c>
      <c r="B24" s="20" t="s">
        <v>132</v>
      </c>
      <c r="C24" s="20" t="s">
        <v>138</v>
      </c>
      <c r="D24" s="21" t="s">
        <v>27</v>
      </c>
      <c r="E24" s="21" t="s">
        <v>134</v>
      </c>
      <c r="F24" s="20" t="s">
        <v>139</v>
      </c>
      <c r="G24" s="20" t="s">
        <v>75</v>
      </c>
      <c r="H24" s="21" t="s">
        <v>9</v>
      </c>
      <c r="I24" s="20"/>
    </row>
    <row r="25" customFormat="false" ht="22.35" hidden="false" customHeight="false" outlineLevel="0" collapsed="false">
      <c r="A25" s="19" t="s">
        <v>140</v>
      </c>
      <c r="B25" s="20" t="s">
        <v>132</v>
      </c>
      <c r="C25" s="20" t="s">
        <v>141</v>
      </c>
      <c r="D25" s="21" t="s">
        <v>28</v>
      </c>
      <c r="E25" s="21" t="s">
        <v>134</v>
      </c>
      <c r="F25" s="20" t="s">
        <v>142</v>
      </c>
      <c r="G25" s="20" t="s">
        <v>143</v>
      </c>
      <c r="H25" s="21" t="s">
        <v>9</v>
      </c>
      <c r="I25" s="20"/>
    </row>
    <row r="26" customFormat="false" ht="22.35" hidden="false" customHeight="false" outlineLevel="0" collapsed="false">
      <c r="A26" s="19" t="s">
        <v>144</v>
      </c>
      <c r="B26" s="20" t="s">
        <v>132</v>
      </c>
      <c r="C26" s="20" t="s">
        <v>145</v>
      </c>
      <c r="D26" s="21" t="s">
        <v>28</v>
      </c>
      <c r="E26" s="21" t="s">
        <v>146</v>
      </c>
      <c r="F26" s="20" t="s">
        <v>147</v>
      </c>
      <c r="G26" s="20" t="s">
        <v>75</v>
      </c>
      <c r="H26" s="21" t="s">
        <v>9</v>
      </c>
      <c r="I26" s="20"/>
    </row>
    <row r="27" customFormat="false" ht="22.35" hidden="false" customHeight="false" outlineLevel="0" collapsed="false">
      <c r="A27" s="19" t="s">
        <v>148</v>
      </c>
      <c r="B27" s="20" t="s">
        <v>132</v>
      </c>
      <c r="C27" s="20" t="s">
        <v>149</v>
      </c>
      <c r="D27" s="21" t="s">
        <v>28</v>
      </c>
      <c r="E27" s="21" t="s">
        <v>150</v>
      </c>
      <c r="F27" s="20" t="s">
        <v>151</v>
      </c>
      <c r="G27" s="20" t="s">
        <v>152</v>
      </c>
      <c r="H27" s="21" t="s">
        <v>9</v>
      </c>
      <c r="I27" s="20"/>
    </row>
    <row r="28" customFormat="false" ht="22.35" hidden="false" customHeight="false" outlineLevel="0" collapsed="false">
      <c r="A28" s="19" t="s">
        <v>153</v>
      </c>
      <c r="B28" s="20" t="s">
        <v>132</v>
      </c>
      <c r="C28" s="20" t="s">
        <v>154</v>
      </c>
      <c r="D28" s="21" t="s">
        <v>28</v>
      </c>
      <c r="E28" s="21" t="s">
        <v>150</v>
      </c>
      <c r="F28" s="20" t="s">
        <v>155</v>
      </c>
      <c r="G28" s="20" t="s">
        <v>152</v>
      </c>
      <c r="H28" s="21" t="s">
        <v>9</v>
      </c>
      <c r="I28" s="20"/>
    </row>
    <row r="29" customFormat="false" ht="22.35" hidden="false" customHeight="false" outlineLevel="0" collapsed="false">
      <c r="A29" s="19" t="s">
        <v>156</v>
      </c>
      <c r="B29" s="20" t="s">
        <v>132</v>
      </c>
      <c r="C29" s="20" t="s">
        <v>157</v>
      </c>
      <c r="D29" s="21" t="s">
        <v>28</v>
      </c>
      <c r="E29" s="21" t="s">
        <v>150</v>
      </c>
      <c r="F29" s="20" t="s">
        <v>158</v>
      </c>
      <c r="G29" s="20" t="s">
        <v>152</v>
      </c>
      <c r="H29" s="21" t="s">
        <v>9</v>
      </c>
      <c r="I29" s="20" t="s">
        <v>159</v>
      </c>
    </row>
    <row r="30" customFormat="false" ht="22.35" hidden="false" customHeight="false" outlineLevel="0" collapsed="false">
      <c r="A30" s="19" t="s">
        <v>160</v>
      </c>
      <c r="B30" s="20" t="s">
        <v>132</v>
      </c>
      <c r="C30" s="20" t="s">
        <v>161</v>
      </c>
      <c r="D30" s="21" t="s">
        <v>28</v>
      </c>
      <c r="E30" s="21" t="s">
        <v>150</v>
      </c>
      <c r="F30" s="20" t="s">
        <v>162</v>
      </c>
      <c r="G30" s="20" t="s">
        <v>152</v>
      </c>
      <c r="H30" s="21" t="s">
        <v>9</v>
      </c>
      <c r="I30" s="20"/>
    </row>
    <row r="31" customFormat="false" ht="22.35" hidden="false" customHeight="false" outlineLevel="0" collapsed="false">
      <c r="A31" s="19" t="s">
        <v>163</v>
      </c>
      <c r="B31" s="20" t="s">
        <v>132</v>
      </c>
      <c r="C31" s="20" t="s">
        <v>164</v>
      </c>
      <c r="D31" s="21" t="s">
        <v>28</v>
      </c>
      <c r="E31" s="21" t="s">
        <v>150</v>
      </c>
      <c r="F31" s="20" t="s">
        <v>165</v>
      </c>
      <c r="G31" s="20" t="s">
        <v>166</v>
      </c>
      <c r="H31" s="21" t="s">
        <v>9</v>
      </c>
      <c r="I31" s="20"/>
    </row>
    <row r="32" customFormat="false" ht="22.35" hidden="false" customHeight="false" outlineLevel="0" collapsed="false">
      <c r="A32" s="19" t="s">
        <v>167</v>
      </c>
      <c r="B32" s="20" t="s">
        <v>168</v>
      </c>
      <c r="C32" s="20" t="s">
        <v>169</v>
      </c>
      <c r="D32" s="21" t="s">
        <v>27</v>
      </c>
      <c r="E32" s="21" t="s">
        <v>170</v>
      </c>
      <c r="F32" s="20" t="s">
        <v>171</v>
      </c>
      <c r="G32" s="20" t="s">
        <v>172</v>
      </c>
      <c r="H32" s="21" t="s">
        <v>9</v>
      </c>
      <c r="I32" s="20"/>
    </row>
    <row r="33" customFormat="false" ht="22.35" hidden="false" customHeight="false" outlineLevel="0" collapsed="false">
      <c r="A33" s="19" t="s">
        <v>173</v>
      </c>
      <c r="B33" s="20" t="s">
        <v>168</v>
      </c>
      <c r="C33" s="20" t="s">
        <v>174</v>
      </c>
      <c r="D33" s="21" t="s">
        <v>28</v>
      </c>
      <c r="E33" s="21" t="s">
        <v>170</v>
      </c>
      <c r="F33" s="20" t="s">
        <v>175</v>
      </c>
      <c r="G33" s="20" t="s">
        <v>172</v>
      </c>
      <c r="H33" s="21" t="s">
        <v>9</v>
      </c>
      <c r="I33" s="20"/>
    </row>
    <row r="34" customFormat="false" ht="22.35" hidden="false" customHeight="false" outlineLevel="0" collapsed="false">
      <c r="A34" s="19" t="s">
        <v>176</v>
      </c>
      <c r="B34" s="20" t="s">
        <v>168</v>
      </c>
      <c r="C34" s="20" t="s">
        <v>177</v>
      </c>
      <c r="D34" s="21" t="s">
        <v>28</v>
      </c>
      <c r="E34" s="21" t="s">
        <v>170</v>
      </c>
      <c r="F34" s="20" t="s">
        <v>178</v>
      </c>
      <c r="G34" s="20" t="s">
        <v>172</v>
      </c>
      <c r="H34" s="21" t="s">
        <v>9</v>
      </c>
      <c r="I34" s="20"/>
    </row>
    <row r="35" customFormat="false" ht="22.35" hidden="false" customHeight="false" outlineLevel="0" collapsed="false">
      <c r="A35" s="19" t="s">
        <v>179</v>
      </c>
      <c r="B35" s="20" t="s">
        <v>168</v>
      </c>
      <c r="C35" s="20" t="s">
        <v>180</v>
      </c>
      <c r="D35" s="21" t="s">
        <v>28</v>
      </c>
      <c r="E35" s="21" t="s">
        <v>170</v>
      </c>
      <c r="F35" s="20" t="s">
        <v>181</v>
      </c>
      <c r="G35" s="20" t="s">
        <v>172</v>
      </c>
      <c r="H35" s="21" t="s">
        <v>9</v>
      </c>
      <c r="I35" s="20"/>
    </row>
    <row r="36" customFormat="false" ht="22.35" hidden="false" customHeight="false" outlineLevel="0" collapsed="false">
      <c r="A36" s="19" t="s">
        <v>182</v>
      </c>
      <c r="B36" s="20" t="s">
        <v>168</v>
      </c>
      <c r="C36" s="20" t="s">
        <v>183</v>
      </c>
      <c r="D36" s="21" t="s">
        <v>29</v>
      </c>
      <c r="E36" s="21" t="s">
        <v>170</v>
      </c>
      <c r="F36" s="20" t="s">
        <v>184</v>
      </c>
      <c r="G36" s="20" t="s">
        <v>185</v>
      </c>
      <c r="H36" s="21" t="s">
        <v>9</v>
      </c>
      <c r="I36" s="20"/>
    </row>
    <row r="37" customFormat="false" ht="22.35" hidden="false" customHeight="false" outlineLevel="0" collapsed="false">
      <c r="A37" s="19" t="s">
        <v>186</v>
      </c>
      <c r="B37" s="20" t="s">
        <v>187</v>
      </c>
      <c r="C37" s="20" t="s">
        <v>188</v>
      </c>
      <c r="D37" s="21" t="s">
        <v>28</v>
      </c>
      <c r="E37" s="21" t="s">
        <v>189</v>
      </c>
      <c r="F37" s="20" t="s">
        <v>190</v>
      </c>
      <c r="G37" s="20" t="s">
        <v>105</v>
      </c>
      <c r="H37" s="21" t="s">
        <v>13</v>
      </c>
      <c r="I37" s="20" t="s">
        <v>191</v>
      </c>
    </row>
    <row r="38" customFormat="false" ht="15" hidden="false" customHeight="false" outlineLevel="0" collapsed="false">
      <c r="A38" s="19" t="s">
        <v>192</v>
      </c>
      <c r="B38" s="20" t="s">
        <v>187</v>
      </c>
      <c r="C38" s="20" t="s">
        <v>193</v>
      </c>
      <c r="D38" s="21" t="s">
        <v>28</v>
      </c>
      <c r="E38" s="21" t="s">
        <v>134</v>
      </c>
      <c r="F38" s="20" t="s">
        <v>194</v>
      </c>
      <c r="G38" s="20" t="s">
        <v>105</v>
      </c>
      <c r="H38" s="21" t="s">
        <v>13</v>
      </c>
      <c r="I38" s="20" t="s">
        <v>195</v>
      </c>
    </row>
    <row r="39" customFormat="false" ht="22.35" hidden="false" customHeight="false" outlineLevel="0" collapsed="false">
      <c r="A39" s="19" t="s">
        <v>196</v>
      </c>
      <c r="B39" s="20" t="s">
        <v>187</v>
      </c>
      <c r="C39" s="20" t="s">
        <v>197</v>
      </c>
      <c r="D39" s="21" t="s">
        <v>28</v>
      </c>
      <c r="E39" s="21" t="s">
        <v>198</v>
      </c>
      <c r="F39" s="20" t="s">
        <v>199</v>
      </c>
      <c r="G39" s="20" t="s">
        <v>105</v>
      </c>
      <c r="H39" s="21" t="s">
        <v>17</v>
      </c>
      <c r="I39" s="20" t="s">
        <v>200</v>
      </c>
    </row>
    <row r="40" customFormat="false" ht="22.35" hidden="false" customHeight="false" outlineLevel="0" collapsed="false">
      <c r="A40" s="19" t="s">
        <v>201</v>
      </c>
      <c r="B40" s="20" t="s">
        <v>202</v>
      </c>
      <c r="C40" s="20" t="s">
        <v>203</v>
      </c>
      <c r="D40" s="21" t="s">
        <v>30</v>
      </c>
      <c r="E40" s="21" t="s">
        <v>204</v>
      </c>
      <c r="F40" s="20" t="s">
        <v>205</v>
      </c>
      <c r="G40" s="20" t="s">
        <v>206</v>
      </c>
      <c r="H40" s="21" t="s">
        <v>15</v>
      </c>
      <c r="I40" s="20" t="s">
        <v>207</v>
      </c>
    </row>
    <row r="41" customFormat="false" ht="22.35" hidden="false" customHeight="false" outlineLevel="0" collapsed="false">
      <c r="A41" s="19" t="s">
        <v>208</v>
      </c>
      <c r="B41" s="20" t="s">
        <v>202</v>
      </c>
      <c r="C41" s="20" t="s">
        <v>209</v>
      </c>
      <c r="D41" s="21" t="s">
        <v>30</v>
      </c>
      <c r="E41" s="21" t="s">
        <v>204</v>
      </c>
      <c r="F41" s="20" t="s">
        <v>210</v>
      </c>
      <c r="G41" s="20" t="s">
        <v>211</v>
      </c>
      <c r="H41" s="21" t="s">
        <v>13</v>
      </c>
      <c r="I41" s="20" t="s">
        <v>212</v>
      </c>
    </row>
    <row r="42" customFormat="false" ht="22.35" hidden="false" customHeight="false" outlineLevel="0" collapsed="false">
      <c r="A42" s="19" t="s">
        <v>213</v>
      </c>
      <c r="B42" s="20" t="s">
        <v>202</v>
      </c>
      <c r="C42" s="20" t="s">
        <v>214</v>
      </c>
      <c r="D42" s="21" t="s">
        <v>30</v>
      </c>
      <c r="E42" s="21" t="s">
        <v>215</v>
      </c>
      <c r="F42" s="20" t="s">
        <v>216</v>
      </c>
      <c r="G42" s="20" t="s">
        <v>217</v>
      </c>
      <c r="H42" s="21" t="s">
        <v>9</v>
      </c>
      <c r="I42" s="20" t="s">
        <v>218</v>
      </c>
    </row>
    <row r="43" customFormat="false" ht="22.35" hidden="false" customHeight="false" outlineLevel="0" collapsed="false">
      <c r="A43" s="19" t="s">
        <v>219</v>
      </c>
      <c r="B43" s="20" t="s">
        <v>202</v>
      </c>
      <c r="C43" s="20" t="s">
        <v>220</v>
      </c>
      <c r="D43" s="21" t="s">
        <v>30</v>
      </c>
      <c r="E43" s="21" t="s">
        <v>221</v>
      </c>
      <c r="F43" s="20" t="s">
        <v>222</v>
      </c>
      <c r="G43" s="20" t="s">
        <v>105</v>
      </c>
      <c r="H43" s="21" t="s">
        <v>17</v>
      </c>
      <c r="I43" s="20" t="s">
        <v>223</v>
      </c>
    </row>
    <row r="44" customFormat="false" ht="22.35" hidden="false" customHeight="false" outlineLevel="0" collapsed="false">
      <c r="A44" s="19" t="s">
        <v>224</v>
      </c>
      <c r="B44" s="20" t="s">
        <v>202</v>
      </c>
      <c r="C44" s="20" t="s">
        <v>225</v>
      </c>
      <c r="D44" s="21" t="s">
        <v>30</v>
      </c>
      <c r="E44" s="21" t="s">
        <v>226</v>
      </c>
      <c r="F44" s="20" t="s">
        <v>227</v>
      </c>
      <c r="G44" s="20" t="s">
        <v>172</v>
      </c>
      <c r="H44" s="21" t="s">
        <v>11</v>
      </c>
      <c r="I44" s="20" t="s">
        <v>228</v>
      </c>
    </row>
  </sheetData>
  <autoFilter ref="A4:I44"/>
  <mergeCells count="1">
    <mergeCell ref="A2:I2"/>
  </mergeCells>
  <conditionalFormatting sqref="H5:H44">
    <cfRule type="cellIs" priority="2" operator="equal" aboveAverage="0" equalAverage="0" bottom="0" percent="0" rank="0" text="" dxfId="8">
      <formula>"Implementado y probado"</formula>
    </cfRule>
    <cfRule type="cellIs" priority="3" operator="equal" aboveAverage="0" equalAverage="0" bottom="0" percent="0" rank="0" text="" dxfId="9">
      <formula>"Implementado"</formula>
    </cfRule>
    <cfRule type="cellIs" priority="4" operator="equal" aboveAverage="0" equalAverage="0" bottom="0" percent="0" rank="0" text="" dxfId="10">
      <formula>"Parcial"</formula>
    </cfRule>
    <cfRule type="cellIs" priority="5" operator="equal" aboveAverage="0" equalAverage="0" bottom="0" percent="0" rank="0" text="" dxfId="11">
      <formula>"Mock"</formula>
    </cfRule>
    <cfRule type="cellIs" priority="6" operator="equal" aboveAverage="0" equalAverage="0" bottom="0" percent="0" rank="0" text="" dxfId="12">
      <formula>"Pendiente"</formula>
    </cfRule>
    <cfRule type="cellIs" priority="7" operator="equal" aboveAverage="0" equalAverage="0" bottom="0" percent="0" rank="0" text="" dxfId="13">
      <formula>"Diseñado (no desplegado)"</formula>
    </cfRule>
  </conditionalFormatting>
  <dataValidations count="1">
    <dataValidation allowBlank="false" errorStyle="stop" operator="between" showDropDown="false" showErrorMessage="false" showInputMessage="false" sqref="H5:H44" type="list">
      <formula1>"Implementado y probado,Implementado,Parcial,Mock,Pendiente,Diseñado (no desplegado)"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44"/>
    <col collapsed="false" customWidth="true" hidden="false" outlineLevel="0" max="4" min="4" style="0" width="48"/>
    <col collapsed="false" customWidth="true" hidden="false" outlineLevel="0" max="5" min="5" style="0" width="40"/>
    <col collapsed="false" customWidth="true" hidden="false" outlineLevel="0" max="6" min="6" style="0" width="18"/>
    <col collapsed="false" customWidth="true" hidden="false" outlineLevel="0" max="7" min="7" style="0" width="60"/>
  </cols>
  <sheetData>
    <row r="1" customFormat="false" ht="17.35" hidden="false" customHeight="false" outlineLevel="0" collapsed="false">
      <c r="A1" s="1" t="s">
        <v>229</v>
      </c>
    </row>
    <row r="2" customFormat="false" ht="15" hidden="false" customHeight="false" outlineLevel="0" collapsed="false">
      <c r="A2" s="2" t="s">
        <v>230</v>
      </c>
      <c r="B2" s="2"/>
      <c r="C2" s="2"/>
      <c r="D2" s="2"/>
      <c r="E2" s="2"/>
      <c r="F2" s="2"/>
      <c r="G2" s="2"/>
    </row>
    <row r="4" customFormat="false" ht="15" hidden="false" customHeight="false" outlineLevel="0" collapsed="false">
      <c r="A4" s="3" t="s">
        <v>40</v>
      </c>
      <c r="B4" s="3" t="s">
        <v>231</v>
      </c>
      <c r="C4" s="3" t="s">
        <v>232</v>
      </c>
      <c r="D4" s="3" t="s">
        <v>233</v>
      </c>
      <c r="E4" s="3" t="s">
        <v>45</v>
      </c>
      <c r="F4" s="3" t="s">
        <v>2</v>
      </c>
      <c r="G4" s="3" t="s">
        <v>46</v>
      </c>
    </row>
    <row r="5" customFormat="false" ht="22.35" hidden="false" customHeight="false" outlineLevel="0" collapsed="false">
      <c r="A5" s="19" t="s">
        <v>234</v>
      </c>
      <c r="B5" s="20" t="s">
        <v>235</v>
      </c>
      <c r="C5" s="20" t="s">
        <v>236</v>
      </c>
      <c r="D5" s="20" t="s">
        <v>237</v>
      </c>
      <c r="E5" s="20" t="s">
        <v>238</v>
      </c>
      <c r="F5" s="21" t="s">
        <v>11</v>
      </c>
      <c r="G5" s="20" t="s">
        <v>239</v>
      </c>
    </row>
    <row r="6" customFormat="false" ht="22.35" hidden="false" customHeight="false" outlineLevel="0" collapsed="false">
      <c r="A6" s="19" t="s">
        <v>240</v>
      </c>
      <c r="B6" s="20" t="s">
        <v>241</v>
      </c>
      <c r="C6" s="20" t="s">
        <v>242</v>
      </c>
      <c r="D6" s="20" t="s">
        <v>243</v>
      </c>
      <c r="E6" s="20" t="s">
        <v>105</v>
      </c>
      <c r="F6" s="21" t="s">
        <v>19</v>
      </c>
      <c r="G6" s="20" t="s">
        <v>244</v>
      </c>
    </row>
    <row r="7" customFormat="false" ht="15" hidden="false" customHeight="false" outlineLevel="0" collapsed="false">
      <c r="A7" s="19" t="s">
        <v>245</v>
      </c>
      <c r="B7" s="20" t="s">
        <v>235</v>
      </c>
      <c r="C7" s="20" t="s">
        <v>246</v>
      </c>
      <c r="D7" s="20" t="s">
        <v>247</v>
      </c>
      <c r="E7" s="20" t="s">
        <v>105</v>
      </c>
      <c r="F7" s="21" t="s">
        <v>13</v>
      </c>
      <c r="G7" s="20" t="s">
        <v>248</v>
      </c>
    </row>
    <row r="8" customFormat="false" ht="22.35" hidden="false" customHeight="false" outlineLevel="0" collapsed="false">
      <c r="A8" s="19" t="s">
        <v>249</v>
      </c>
      <c r="B8" s="20" t="s">
        <v>250</v>
      </c>
      <c r="C8" s="20" t="s">
        <v>251</v>
      </c>
      <c r="D8" s="20" t="s">
        <v>105</v>
      </c>
      <c r="E8" s="20" t="s">
        <v>105</v>
      </c>
      <c r="F8" s="21" t="s">
        <v>17</v>
      </c>
      <c r="G8" s="20" t="s">
        <v>252</v>
      </c>
    </row>
    <row r="9" customFormat="false" ht="22.35" hidden="false" customHeight="false" outlineLevel="0" collapsed="false">
      <c r="A9" s="19" t="s">
        <v>253</v>
      </c>
      <c r="B9" s="20" t="s">
        <v>254</v>
      </c>
      <c r="C9" s="20" t="s">
        <v>255</v>
      </c>
      <c r="D9" s="20" t="s">
        <v>256</v>
      </c>
      <c r="E9" s="20" t="s">
        <v>257</v>
      </c>
      <c r="F9" s="21" t="s">
        <v>9</v>
      </c>
      <c r="G9" s="20"/>
    </row>
    <row r="10" customFormat="false" ht="22.35" hidden="false" customHeight="false" outlineLevel="0" collapsed="false">
      <c r="A10" s="19" t="s">
        <v>258</v>
      </c>
      <c r="B10" s="20" t="s">
        <v>254</v>
      </c>
      <c r="C10" s="20" t="s">
        <v>259</v>
      </c>
      <c r="D10" s="20" t="s">
        <v>260</v>
      </c>
      <c r="E10" s="20" t="s">
        <v>52</v>
      </c>
      <c r="F10" s="21" t="s">
        <v>9</v>
      </c>
      <c r="G10" s="20"/>
    </row>
    <row r="11" customFormat="false" ht="22.35" hidden="false" customHeight="false" outlineLevel="0" collapsed="false">
      <c r="A11" s="19" t="s">
        <v>261</v>
      </c>
      <c r="B11" s="20" t="s">
        <v>254</v>
      </c>
      <c r="C11" s="20" t="s">
        <v>262</v>
      </c>
      <c r="D11" s="20" t="s">
        <v>263</v>
      </c>
      <c r="E11" s="20" t="s">
        <v>105</v>
      </c>
      <c r="F11" s="21" t="s">
        <v>19</v>
      </c>
      <c r="G11" s="20" t="s">
        <v>264</v>
      </c>
    </row>
    <row r="12" customFormat="false" ht="22.35" hidden="false" customHeight="false" outlineLevel="0" collapsed="false">
      <c r="A12" s="19" t="s">
        <v>265</v>
      </c>
      <c r="B12" s="20" t="s">
        <v>266</v>
      </c>
      <c r="C12" s="20" t="s">
        <v>267</v>
      </c>
      <c r="D12" s="20" t="s">
        <v>268</v>
      </c>
      <c r="E12" s="20" t="s">
        <v>143</v>
      </c>
      <c r="F12" s="21" t="s">
        <v>11</v>
      </c>
      <c r="G12" s="20" t="s">
        <v>269</v>
      </c>
    </row>
    <row r="13" customFormat="false" ht="22.35" hidden="false" customHeight="false" outlineLevel="0" collapsed="false">
      <c r="A13" s="19" t="s">
        <v>270</v>
      </c>
      <c r="B13" s="20" t="s">
        <v>250</v>
      </c>
      <c r="C13" s="20" t="s">
        <v>271</v>
      </c>
      <c r="D13" s="20" t="s">
        <v>272</v>
      </c>
      <c r="E13" s="20" t="s">
        <v>105</v>
      </c>
      <c r="F13" s="21" t="s">
        <v>17</v>
      </c>
      <c r="G13" s="20" t="s">
        <v>273</v>
      </c>
    </row>
    <row r="14" customFormat="false" ht="22.35" hidden="false" customHeight="false" outlineLevel="0" collapsed="false">
      <c r="A14" s="19" t="s">
        <v>274</v>
      </c>
      <c r="B14" s="20" t="s">
        <v>275</v>
      </c>
      <c r="C14" s="20" t="s">
        <v>276</v>
      </c>
      <c r="D14" s="20" t="s">
        <v>277</v>
      </c>
      <c r="E14" s="20" t="s">
        <v>278</v>
      </c>
      <c r="F14" s="21" t="s">
        <v>13</v>
      </c>
      <c r="G14" s="20" t="s">
        <v>279</v>
      </c>
    </row>
    <row r="15" customFormat="false" ht="15" hidden="false" customHeight="false" outlineLevel="0" collapsed="false">
      <c r="A15" s="19" t="s">
        <v>280</v>
      </c>
      <c r="B15" s="20" t="s">
        <v>250</v>
      </c>
      <c r="C15" s="20" t="s">
        <v>281</v>
      </c>
      <c r="D15" s="20" t="s">
        <v>282</v>
      </c>
      <c r="E15" s="20" t="s">
        <v>105</v>
      </c>
      <c r="F15" s="21" t="s">
        <v>17</v>
      </c>
      <c r="G15" s="20" t="s">
        <v>283</v>
      </c>
    </row>
    <row r="16" customFormat="false" ht="22.35" hidden="false" customHeight="false" outlineLevel="0" collapsed="false">
      <c r="A16" s="19" t="s">
        <v>284</v>
      </c>
      <c r="B16" s="20" t="s">
        <v>285</v>
      </c>
      <c r="C16" s="20" t="s">
        <v>286</v>
      </c>
      <c r="D16" s="20" t="s">
        <v>287</v>
      </c>
      <c r="E16" s="20" t="s">
        <v>288</v>
      </c>
      <c r="F16" s="21" t="s">
        <v>9</v>
      </c>
      <c r="G16" s="20"/>
    </row>
    <row r="17" customFormat="false" ht="22.35" hidden="false" customHeight="false" outlineLevel="0" collapsed="false">
      <c r="A17" s="19" t="s">
        <v>289</v>
      </c>
      <c r="B17" s="20" t="s">
        <v>254</v>
      </c>
      <c r="C17" s="20" t="s">
        <v>290</v>
      </c>
      <c r="D17" s="20" t="s">
        <v>291</v>
      </c>
      <c r="E17" s="20" t="s">
        <v>292</v>
      </c>
      <c r="F17" s="21" t="s">
        <v>13</v>
      </c>
      <c r="G17" s="20" t="s">
        <v>293</v>
      </c>
    </row>
    <row r="18" customFormat="false" ht="22.35" hidden="false" customHeight="false" outlineLevel="0" collapsed="false">
      <c r="A18" s="19" t="s">
        <v>294</v>
      </c>
      <c r="B18" s="20" t="s">
        <v>295</v>
      </c>
      <c r="C18" s="20" t="s">
        <v>296</v>
      </c>
      <c r="D18" s="20" t="s">
        <v>297</v>
      </c>
      <c r="E18" s="20" t="s">
        <v>105</v>
      </c>
      <c r="F18" s="21" t="s">
        <v>13</v>
      </c>
      <c r="G18" s="20" t="s">
        <v>298</v>
      </c>
    </row>
  </sheetData>
  <autoFilter ref="A4:G18"/>
  <mergeCells count="1">
    <mergeCell ref="A2:G2"/>
  </mergeCells>
  <conditionalFormatting sqref="F5:F18">
    <cfRule type="cellIs" priority="2" operator="equal" aboveAverage="0" equalAverage="0" bottom="0" percent="0" rank="0" text="" dxfId="8">
      <formula>"Implementado y probado"</formula>
    </cfRule>
    <cfRule type="cellIs" priority="3" operator="equal" aboveAverage="0" equalAverage="0" bottom="0" percent="0" rank="0" text="" dxfId="9">
      <formula>"Implementado"</formula>
    </cfRule>
    <cfRule type="cellIs" priority="4" operator="equal" aboveAverage="0" equalAverage="0" bottom="0" percent="0" rank="0" text="" dxfId="10">
      <formula>"Parcial"</formula>
    </cfRule>
    <cfRule type="cellIs" priority="5" operator="equal" aboveAverage="0" equalAverage="0" bottom="0" percent="0" rank="0" text="" dxfId="11">
      <formula>"Mock"</formula>
    </cfRule>
    <cfRule type="cellIs" priority="6" operator="equal" aboveAverage="0" equalAverage="0" bottom="0" percent="0" rank="0" text="" dxfId="12">
      <formula>"Pendiente"</formula>
    </cfRule>
    <cfRule type="cellIs" priority="7" operator="equal" aboveAverage="0" equalAverage="0" bottom="0" percent="0" rank="0" text="" dxfId="13">
      <formula>"Diseñado (no desplegado)"</formula>
    </cfRule>
  </conditionalFormatting>
  <dataValidations count="1">
    <dataValidation allowBlank="false" errorStyle="stop" operator="between" showDropDown="false" showErrorMessage="false" showInputMessage="false" sqref="F5:F18" type="list">
      <formula1>"Implementado y probado,Implementado,Parcial,Mock,Pendiente,Diseñado (no desplegado)"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6"/>
    <col collapsed="false" customWidth="true" hidden="false" outlineLevel="0" max="3" min="3" style="0" width="24"/>
    <col collapsed="false" customWidth="true" hidden="false" outlineLevel="0" max="4" min="4" style="0" width="40"/>
    <col collapsed="false" customWidth="true" hidden="false" outlineLevel="0" max="5" min="5" style="0" width="52"/>
    <col collapsed="false" customWidth="true" hidden="false" outlineLevel="0" max="6" min="6" style="0" width="18"/>
    <col collapsed="false" customWidth="true" hidden="false" outlineLevel="0" max="7" min="7" style="0" width="26"/>
  </cols>
  <sheetData>
    <row r="1" customFormat="false" ht="17.35" hidden="false" customHeight="false" outlineLevel="0" collapsed="false">
      <c r="A1" s="1" t="s">
        <v>299</v>
      </c>
    </row>
    <row r="2" customFormat="false" ht="15" hidden="false" customHeight="false" outlineLevel="0" collapsed="false">
      <c r="A2" s="2" t="s">
        <v>300</v>
      </c>
      <c r="B2" s="2"/>
      <c r="C2" s="2"/>
      <c r="D2" s="2"/>
      <c r="E2" s="2"/>
      <c r="F2" s="2"/>
      <c r="G2" s="2"/>
    </row>
    <row r="4" customFormat="false" ht="23.85" hidden="false" customHeight="false" outlineLevel="0" collapsed="false">
      <c r="A4" s="3" t="s">
        <v>40</v>
      </c>
      <c r="B4" s="3" t="s">
        <v>301</v>
      </c>
      <c r="C4" s="3" t="s">
        <v>302</v>
      </c>
      <c r="D4" s="3" t="s">
        <v>303</v>
      </c>
      <c r="E4" s="3" t="s">
        <v>304</v>
      </c>
      <c r="F4" s="3" t="s">
        <v>2</v>
      </c>
      <c r="G4" s="3" t="s">
        <v>305</v>
      </c>
    </row>
    <row r="5" customFormat="false" ht="22.35" hidden="false" customHeight="false" outlineLevel="0" collapsed="false">
      <c r="A5" s="19" t="s">
        <v>50</v>
      </c>
      <c r="B5" s="20" t="s">
        <v>306</v>
      </c>
      <c r="C5" s="20" t="s">
        <v>307</v>
      </c>
      <c r="D5" s="20" t="s">
        <v>308</v>
      </c>
      <c r="E5" s="20" t="s">
        <v>309</v>
      </c>
      <c r="F5" s="21" t="s">
        <v>9</v>
      </c>
      <c r="G5" s="21" t="n">
        <f aca="false">COUNTBLANK('Matriz RF'!E5:E44)</f>
        <v>0</v>
      </c>
    </row>
    <row r="6" customFormat="false" ht="22.35" hidden="false" customHeight="false" outlineLevel="0" collapsed="false">
      <c r="A6" s="19" t="s">
        <v>60</v>
      </c>
      <c r="B6" s="20" t="s">
        <v>310</v>
      </c>
      <c r="C6" s="20" t="s">
        <v>307</v>
      </c>
      <c r="D6" s="20" t="s">
        <v>58</v>
      </c>
      <c r="E6" s="20" t="s">
        <v>61</v>
      </c>
      <c r="F6" s="21" t="s">
        <v>9</v>
      </c>
      <c r="G6" s="22" t="s">
        <v>311</v>
      </c>
    </row>
    <row r="7" customFormat="false" ht="15" hidden="false" customHeight="false" outlineLevel="0" collapsed="false">
      <c r="A7" s="19" t="s">
        <v>67</v>
      </c>
      <c r="B7" s="20" t="s">
        <v>312</v>
      </c>
      <c r="C7" s="20" t="s">
        <v>313</v>
      </c>
      <c r="D7" s="20" t="s">
        <v>314</v>
      </c>
      <c r="E7" s="20" t="s">
        <v>315</v>
      </c>
      <c r="F7" s="21" t="s">
        <v>13</v>
      </c>
    </row>
    <row r="8" customFormat="false" ht="22.35" hidden="false" customHeight="false" outlineLevel="0" collapsed="false">
      <c r="A8" s="19" t="s">
        <v>73</v>
      </c>
      <c r="B8" s="20" t="s">
        <v>316</v>
      </c>
      <c r="C8" s="20" t="s">
        <v>313</v>
      </c>
      <c r="D8" s="20" t="s">
        <v>317</v>
      </c>
      <c r="E8" s="20" t="s">
        <v>318</v>
      </c>
      <c r="F8" s="21" t="s">
        <v>9</v>
      </c>
    </row>
    <row r="9" customFormat="false" ht="15" hidden="false" customHeight="false" outlineLevel="0" collapsed="false">
      <c r="A9" s="19" t="s">
        <v>103</v>
      </c>
      <c r="B9" s="20" t="s">
        <v>319</v>
      </c>
      <c r="C9" s="20" t="s">
        <v>313</v>
      </c>
      <c r="D9" s="20" t="s">
        <v>320</v>
      </c>
      <c r="E9" s="20" t="s">
        <v>321</v>
      </c>
      <c r="F9" s="21" t="s">
        <v>17</v>
      </c>
    </row>
    <row r="10" customFormat="false" ht="22.35" hidden="false" customHeight="false" outlineLevel="0" collapsed="false">
      <c r="A10" s="19" t="s">
        <v>121</v>
      </c>
      <c r="B10" s="20" t="s">
        <v>322</v>
      </c>
      <c r="C10" s="20" t="s">
        <v>323</v>
      </c>
      <c r="D10" s="20" t="s">
        <v>324</v>
      </c>
      <c r="E10" s="20" t="s">
        <v>122</v>
      </c>
      <c r="F10" s="21" t="s">
        <v>9</v>
      </c>
    </row>
    <row r="11" customFormat="false" ht="15" hidden="false" customHeight="false" outlineLevel="0" collapsed="false">
      <c r="A11" s="19" t="s">
        <v>204</v>
      </c>
      <c r="B11" s="20" t="s">
        <v>325</v>
      </c>
      <c r="C11" s="20" t="s">
        <v>326</v>
      </c>
      <c r="D11" s="20" t="s">
        <v>327</v>
      </c>
      <c r="E11" s="20" t="s">
        <v>328</v>
      </c>
      <c r="F11" s="21" t="s">
        <v>15</v>
      </c>
    </row>
    <row r="12" customFormat="false" ht="15" hidden="false" customHeight="false" outlineLevel="0" collapsed="false">
      <c r="A12" s="19" t="s">
        <v>221</v>
      </c>
      <c r="B12" s="20" t="s">
        <v>329</v>
      </c>
      <c r="C12" s="20" t="s">
        <v>330</v>
      </c>
      <c r="D12" s="20" t="s">
        <v>331</v>
      </c>
      <c r="E12" s="20" t="s">
        <v>332</v>
      </c>
      <c r="F12" s="21" t="s">
        <v>17</v>
      </c>
    </row>
    <row r="13" customFormat="false" ht="22.35" hidden="false" customHeight="false" outlineLevel="0" collapsed="false">
      <c r="A13" s="19" t="s">
        <v>189</v>
      </c>
      <c r="B13" s="20" t="s">
        <v>333</v>
      </c>
      <c r="C13" s="20" t="s">
        <v>307</v>
      </c>
      <c r="D13" s="20" t="s">
        <v>334</v>
      </c>
      <c r="E13" s="20" t="s">
        <v>335</v>
      </c>
      <c r="F13" s="21" t="s">
        <v>9</v>
      </c>
    </row>
    <row r="14" customFormat="false" ht="22.35" hidden="false" customHeight="false" outlineLevel="0" collapsed="false">
      <c r="A14" s="19" t="s">
        <v>150</v>
      </c>
      <c r="B14" s="20" t="s">
        <v>336</v>
      </c>
      <c r="C14" s="20" t="s">
        <v>307</v>
      </c>
      <c r="D14" s="20" t="s">
        <v>337</v>
      </c>
      <c r="E14" s="20" t="s">
        <v>338</v>
      </c>
      <c r="F14" s="21" t="s">
        <v>9</v>
      </c>
    </row>
    <row r="15" customFormat="false" ht="22.35" hidden="false" customHeight="false" outlineLevel="0" collapsed="false">
      <c r="A15" s="19" t="s">
        <v>146</v>
      </c>
      <c r="B15" s="20" t="s">
        <v>339</v>
      </c>
      <c r="C15" s="20" t="s">
        <v>307</v>
      </c>
      <c r="D15" s="20" t="s">
        <v>340</v>
      </c>
      <c r="E15" s="20" t="s">
        <v>341</v>
      </c>
      <c r="F15" s="21" t="s">
        <v>9</v>
      </c>
    </row>
    <row r="16" customFormat="false" ht="22.35" hidden="false" customHeight="false" outlineLevel="0" collapsed="false">
      <c r="A16" s="19" t="s">
        <v>134</v>
      </c>
      <c r="B16" s="20" t="s">
        <v>342</v>
      </c>
      <c r="C16" s="20" t="s">
        <v>307</v>
      </c>
      <c r="D16" s="20" t="s">
        <v>343</v>
      </c>
      <c r="E16" s="20" t="s">
        <v>135</v>
      </c>
      <c r="F16" s="21" t="s">
        <v>9</v>
      </c>
    </row>
    <row r="17" customFormat="false" ht="22.35" hidden="false" customHeight="false" outlineLevel="0" collapsed="false">
      <c r="A17" s="19" t="s">
        <v>170</v>
      </c>
      <c r="B17" s="20" t="s">
        <v>344</v>
      </c>
      <c r="C17" s="20" t="s">
        <v>307</v>
      </c>
      <c r="D17" s="20" t="s">
        <v>345</v>
      </c>
      <c r="E17" s="20" t="s">
        <v>346</v>
      </c>
      <c r="F17" s="21" t="s">
        <v>9</v>
      </c>
    </row>
    <row r="18" customFormat="false" ht="15" hidden="false" customHeight="false" outlineLevel="0" collapsed="false">
      <c r="A18" s="19" t="s">
        <v>226</v>
      </c>
      <c r="B18" s="20" t="s">
        <v>347</v>
      </c>
      <c r="C18" s="20" t="s">
        <v>307</v>
      </c>
      <c r="D18" s="20" t="s">
        <v>224</v>
      </c>
      <c r="E18" s="20" t="s">
        <v>348</v>
      </c>
      <c r="F18" s="21" t="s">
        <v>11</v>
      </c>
    </row>
  </sheetData>
  <mergeCells count="1">
    <mergeCell ref="A2:G2"/>
  </mergeCells>
  <conditionalFormatting sqref="F5:F18">
    <cfRule type="cellIs" priority="2" operator="equal" aboveAverage="0" equalAverage="0" bottom="0" percent="0" rank="0" text="" dxfId="8">
      <formula>"Implementado y probado"</formula>
    </cfRule>
    <cfRule type="cellIs" priority="3" operator="equal" aboveAverage="0" equalAverage="0" bottom="0" percent="0" rank="0" text="" dxfId="9">
      <formula>"Implementado"</formula>
    </cfRule>
    <cfRule type="cellIs" priority="4" operator="equal" aboveAverage="0" equalAverage="0" bottom="0" percent="0" rank="0" text="" dxfId="10">
      <formula>"Parcial"</formula>
    </cfRule>
    <cfRule type="cellIs" priority="5" operator="equal" aboveAverage="0" equalAverage="0" bottom="0" percent="0" rank="0" text="" dxfId="11">
      <formula>"Mock"</formula>
    </cfRule>
    <cfRule type="cellIs" priority="6" operator="equal" aboveAverage="0" equalAverage="0" bottom="0" percent="0" rank="0" text="" dxfId="12">
      <formula>"Pendiente"</formula>
    </cfRule>
    <cfRule type="cellIs" priority="7" operator="equal" aboveAverage="0" equalAverage="0" bottom="0" percent="0" rank="0" text="" dxfId="13">
      <formula>"Diseñado (no desplegado)"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0"/>
    <col collapsed="false" customWidth="true" hidden="false" outlineLevel="0" max="6" min="4" style="0" width="58"/>
    <col collapsed="false" customWidth="true" hidden="false" outlineLevel="0" max="7" min="7" style="0" width="11"/>
    <col collapsed="false" customWidth="true" hidden="false" outlineLevel="0" max="8" min="8" style="0" width="16"/>
  </cols>
  <sheetData>
    <row r="1" customFormat="false" ht="17.35" hidden="false" customHeight="false" outlineLevel="0" collapsed="false">
      <c r="A1" s="1" t="s">
        <v>349</v>
      </c>
    </row>
    <row r="2" customFormat="false" ht="15" hidden="false" customHeight="false" outlineLevel="0" collapsed="false">
      <c r="A2" s="2" t="s">
        <v>350</v>
      </c>
      <c r="B2" s="2"/>
      <c r="C2" s="2"/>
      <c r="D2" s="2"/>
      <c r="E2" s="2"/>
      <c r="F2" s="2"/>
      <c r="G2" s="2"/>
      <c r="H2" s="2"/>
      <c r="I2" s="2"/>
    </row>
    <row r="4" customFormat="false" ht="23.85" hidden="false" customHeight="false" outlineLevel="0" collapsed="false">
      <c r="A4" s="3" t="s">
        <v>351</v>
      </c>
      <c r="B4" s="3" t="s">
        <v>352</v>
      </c>
      <c r="C4" s="3" t="s">
        <v>353</v>
      </c>
      <c r="D4" s="3" t="s">
        <v>354</v>
      </c>
      <c r="E4" s="3" t="s">
        <v>355</v>
      </c>
      <c r="F4" s="3" t="s">
        <v>356</v>
      </c>
      <c r="G4" s="3" t="s">
        <v>357</v>
      </c>
      <c r="H4" s="3" t="s">
        <v>2</v>
      </c>
    </row>
    <row r="5" customFormat="false" ht="43.25" hidden="false" customHeight="false" outlineLevel="0" collapsed="false">
      <c r="A5" s="19" t="s">
        <v>358</v>
      </c>
      <c r="B5" s="20" t="s">
        <v>359</v>
      </c>
      <c r="C5" s="23" t="n">
        <v>6</v>
      </c>
      <c r="D5" s="20" t="s">
        <v>360</v>
      </c>
      <c r="E5" s="20" t="s">
        <v>361</v>
      </c>
      <c r="F5" s="20" t="s">
        <v>362</v>
      </c>
      <c r="G5" s="21" t="s">
        <v>363</v>
      </c>
      <c r="H5" s="21" t="s">
        <v>13</v>
      </c>
    </row>
    <row r="6" customFormat="false" ht="22.35" hidden="false" customHeight="false" outlineLevel="0" collapsed="false">
      <c r="A6" s="19" t="s">
        <v>364</v>
      </c>
      <c r="B6" s="20" t="s">
        <v>365</v>
      </c>
      <c r="C6" s="23" t="n">
        <v>4.8</v>
      </c>
      <c r="D6" s="20" t="s">
        <v>366</v>
      </c>
      <c r="E6" s="20" t="s">
        <v>367</v>
      </c>
      <c r="F6" s="20" t="s">
        <v>368</v>
      </c>
      <c r="G6" s="21" t="s">
        <v>369</v>
      </c>
      <c r="H6" s="21" t="s">
        <v>13</v>
      </c>
    </row>
    <row r="7" customFormat="false" ht="32.8" hidden="false" customHeight="false" outlineLevel="0" collapsed="false">
      <c r="A7" s="19" t="s">
        <v>370</v>
      </c>
      <c r="B7" s="20" t="s">
        <v>371</v>
      </c>
      <c r="C7" s="23" t="n">
        <v>6</v>
      </c>
      <c r="D7" s="20" t="s">
        <v>372</v>
      </c>
      <c r="E7" s="20" t="s">
        <v>373</v>
      </c>
      <c r="F7" s="20" t="s">
        <v>374</v>
      </c>
      <c r="G7" s="21" t="s">
        <v>363</v>
      </c>
      <c r="H7" s="21" t="s">
        <v>375</v>
      </c>
    </row>
    <row r="8" customFormat="false" ht="32.8" hidden="false" customHeight="false" outlineLevel="0" collapsed="false">
      <c r="A8" s="19" t="s">
        <v>376</v>
      </c>
      <c r="B8" s="20" t="s">
        <v>377</v>
      </c>
      <c r="C8" s="23" t="n">
        <v>4.8</v>
      </c>
      <c r="D8" s="20" t="s">
        <v>378</v>
      </c>
      <c r="E8" s="20" t="s">
        <v>379</v>
      </c>
      <c r="F8" s="20" t="s">
        <v>380</v>
      </c>
      <c r="G8" s="21" t="s">
        <v>363</v>
      </c>
      <c r="H8" s="21" t="s">
        <v>13</v>
      </c>
    </row>
    <row r="9" customFormat="false" ht="22.35" hidden="false" customHeight="false" outlineLevel="0" collapsed="false">
      <c r="A9" s="19" t="s">
        <v>381</v>
      </c>
      <c r="B9" s="20" t="s">
        <v>382</v>
      </c>
      <c r="C9" s="23" t="n">
        <v>4.8</v>
      </c>
      <c r="D9" s="20" t="s">
        <v>383</v>
      </c>
      <c r="E9" s="20" t="s">
        <v>384</v>
      </c>
      <c r="F9" s="20" t="s">
        <v>385</v>
      </c>
      <c r="G9" s="21" t="s">
        <v>369</v>
      </c>
      <c r="H9" s="21" t="s">
        <v>386</v>
      </c>
    </row>
    <row r="10" customFormat="false" ht="32.8" hidden="false" customHeight="false" outlineLevel="0" collapsed="false">
      <c r="A10" s="19" t="s">
        <v>387</v>
      </c>
      <c r="B10" s="20" t="s">
        <v>388</v>
      </c>
      <c r="C10" s="23" t="n">
        <v>4.8</v>
      </c>
      <c r="D10" s="20" t="s">
        <v>389</v>
      </c>
      <c r="E10" s="20" t="s">
        <v>390</v>
      </c>
      <c r="F10" s="20" t="s">
        <v>391</v>
      </c>
      <c r="G10" s="21" t="s">
        <v>363</v>
      </c>
      <c r="H10" s="21" t="s">
        <v>375</v>
      </c>
    </row>
    <row r="11" customFormat="false" ht="32.8" hidden="false" customHeight="false" outlineLevel="0" collapsed="false">
      <c r="A11" s="19" t="s">
        <v>392</v>
      </c>
      <c r="B11" s="20" t="s">
        <v>393</v>
      </c>
      <c r="C11" s="23" t="n">
        <v>3.6</v>
      </c>
      <c r="D11" s="20" t="s">
        <v>394</v>
      </c>
      <c r="E11" s="20" t="s">
        <v>395</v>
      </c>
      <c r="F11" s="20" t="s">
        <v>396</v>
      </c>
      <c r="G11" s="21" t="s">
        <v>363</v>
      </c>
      <c r="H11" s="21" t="s">
        <v>375</v>
      </c>
    </row>
    <row r="12" customFormat="false" ht="22.35" hidden="false" customHeight="false" outlineLevel="0" collapsed="false">
      <c r="A12" s="19" t="s">
        <v>397</v>
      </c>
      <c r="B12" s="20" t="s">
        <v>398</v>
      </c>
      <c r="C12" s="23" t="n">
        <v>3.6</v>
      </c>
      <c r="D12" s="20" t="s">
        <v>399</v>
      </c>
      <c r="E12" s="20" t="s">
        <v>400</v>
      </c>
      <c r="F12" s="20" t="s">
        <v>401</v>
      </c>
      <c r="G12" s="21" t="s">
        <v>369</v>
      </c>
      <c r="H12" s="21" t="s">
        <v>375</v>
      </c>
    </row>
    <row r="13" customFormat="false" ht="22.35" hidden="false" customHeight="false" outlineLevel="0" collapsed="false">
      <c r="A13" s="19" t="s">
        <v>402</v>
      </c>
      <c r="B13" s="20" t="s">
        <v>403</v>
      </c>
      <c r="C13" s="23" t="n">
        <v>6</v>
      </c>
      <c r="D13" s="20" t="s">
        <v>404</v>
      </c>
      <c r="E13" s="20" t="s">
        <v>405</v>
      </c>
      <c r="F13" s="20" t="s">
        <v>406</v>
      </c>
      <c r="G13" s="21" t="s">
        <v>363</v>
      </c>
      <c r="H13" s="21" t="s">
        <v>375</v>
      </c>
    </row>
    <row r="14" customFormat="false" ht="22.35" hidden="false" customHeight="false" outlineLevel="0" collapsed="false">
      <c r="A14" s="19" t="s">
        <v>407</v>
      </c>
      <c r="B14" s="20" t="s">
        <v>408</v>
      </c>
      <c r="C14" s="23" t="n">
        <v>4.8</v>
      </c>
      <c r="D14" s="20" t="s">
        <v>409</v>
      </c>
      <c r="E14" s="20" t="s">
        <v>410</v>
      </c>
      <c r="F14" s="20" t="s">
        <v>411</v>
      </c>
      <c r="G14" s="21" t="s">
        <v>363</v>
      </c>
      <c r="H14" s="21" t="s">
        <v>375</v>
      </c>
    </row>
    <row r="15" customFormat="false" ht="53.7" hidden="false" customHeight="false" outlineLevel="0" collapsed="false">
      <c r="A15" s="19" t="s">
        <v>412</v>
      </c>
      <c r="B15" s="20" t="s">
        <v>413</v>
      </c>
      <c r="C15" s="23" t="n">
        <v>6</v>
      </c>
      <c r="D15" s="20" t="s">
        <v>414</v>
      </c>
      <c r="E15" s="20" t="s">
        <v>415</v>
      </c>
      <c r="F15" s="20" t="s">
        <v>416</v>
      </c>
      <c r="G15" s="21" t="s">
        <v>363</v>
      </c>
      <c r="H15" s="21" t="s">
        <v>13</v>
      </c>
    </row>
    <row r="16" customFormat="false" ht="32.8" hidden="false" customHeight="false" outlineLevel="0" collapsed="false">
      <c r="A16" s="19" t="s">
        <v>417</v>
      </c>
      <c r="B16" s="20" t="s">
        <v>418</v>
      </c>
      <c r="C16" s="23" t="n">
        <v>4.8</v>
      </c>
      <c r="D16" s="20" t="s">
        <v>419</v>
      </c>
      <c r="E16" s="20" t="s">
        <v>420</v>
      </c>
      <c r="F16" s="20" t="s">
        <v>421</v>
      </c>
      <c r="G16" s="21" t="s">
        <v>363</v>
      </c>
      <c r="H16" s="21" t="s">
        <v>386</v>
      </c>
    </row>
    <row r="17" customFormat="false" ht="15" hidden="false" customHeight="false" outlineLevel="0" collapsed="false">
      <c r="B17" s="14" t="s">
        <v>422</v>
      </c>
      <c r="C17" s="14" t="n">
        <f aca="false">SUM(C5:C16)</f>
        <v>60</v>
      </c>
    </row>
    <row r="18" customFormat="false" ht="15" hidden="false" customHeight="false" outlineLevel="0" collapsed="false">
      <c r="B18" s="14" t="s">
        <v>423</v>
      </c>
      <c r="C18" s="14" t="n">
        <f aca="false">SUMIF(G5:G16,"Alta",C5:C16)</f>
        <v>0</v>
      </c>
    </row>
    <row r="19" customFormat="false" ht="15" hidden="false" customHeight="false" outlineLevel="0" collapsed="false">
      <c r="B19" s="14" t="s">
        <v>424</v>
      </c>
      <c r="C19" s="14" t="n">
        <f aca="false">SUMIF(H5:H16,"Cubierto en texto",C5:C16)</f>
        <v>9.6</v>
      </c>
    </row>
    <row r="20" customFormat="false" ht="15" hidden="false" customHeight="false" outlineLevel="0" collapsed="false">
      <c r="B20" s="14" t="s">
        <v>425</v>
      </c>
      <c r="C20" s="14" t="n">
        <f aca="false">SUMIF(H5:H16,"Entregado",C5:C16)</f>
        <v>28.8</v>
      </c>
    </row>
  </sheetData>
  <mergeCells count="1">
    <mergeCell ref="A2:I2"/>
  </mergeCells>
  <conditionalFormatting sqref="H5:H16">
    <cfRule type="cellIs" priority="2" operator="equal" aboveAverage="0" equalAverage="0" bottom="0" percent="0" rank="0" text="" dxfId="10">
      <formula>"Parcial"</formula>
    </cfRule>
    <cfRule type="cellIs" priority="3" operator="equal" aboveAverage="0" equalAverage="0" bottom="0" percent="0" rank="0" text="" dxfId="8">
      <formula>"Entregado"</formula>
    </cfRule>
    <cfRule type="cellIs" priority="4" operator="equal" aboveAverage="0" equalAverage="0" bottom="0" percent="0" rank="0" text="" dxfId="9">
      <formula>"Cubierto en texto"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70"/>
    <col collapsed="false" customWidth="true" hidden="false" outlineLevel="0" max="4" min="4" style="0" width="46"/>
    <col collapsed="false" customWidth="true" hidden="false" outlineLevel="0" max="5" min="5" style="0" width="60"/>
  </cols>
  <sheetData>
    <row r="1" customFormat="false" ht="17.35" hidden="false" customHeight="false" outlineLevel="0" collapsed="false">
      <c r="A1" s="1" t="s">
        <v>426</v>
      </c>
    </row>
    <row r="3" customFormat="false" ht="15" hidden="false" customHeight="false" outlineLevel="0" collapsed="false">
      <c r="A3" s="3" t="s">
        <v>40</v>
      </c>
      <c r="B3" s="3" t="s">
        <v>427</v>
      </c>
      <c r="C3" s="3" t="s">
        <v>428</v>
      </c>
      <c r="D3" s="3" t="s">
        <v>429</v>
      </c>
      <c r="E3" s="3" t="s">
        <v>356</v>
      </c>
    </row>
    <row r="4" customFormat="false" ht="22.35" hidden="false" customHeight="false" outlineLevel="0" collapsed="false">
      <c r="A4" s="19" t="s">
        <v>430</v>
      </c>
      <c r="B4" s="20" t="s">
        <v>431</v>
      </c>
      <c r="C4" s="20" t="s">
        <v>432</v>
      </c>
      <c r="D4" s="20" t="s">
        <v>433</v>
      </c>
      <c r="E4" s="20" t="s">
        <v>434</v>
      </c>
    </row>
    <row r="5" customFormat="false" ht="32.8" hidden="false" customHeight="false" outlineLevel="0" collapsed="false">
      <c r="A5" s="19" t="s">
        <v>435</v>
      </c>
      <c r="B5" s="20" t="s">
        <v>436</v>
      </c>
      <c r="C5" s="20" t="s">
        <v>437</v>
      </c>
      <c r="D5" s="20" t="s">
        <v>438</v>
      </c>
      <c r="E5" s="20" t="s">
        <v>439</v>
      </c>
    </row>
    <row r="6" customFormat="false" ht="32.8" hidden="false" customHeight="false" outlineLevel="0" collapsed="false">
      <c r="A6" s="19" t="s">
        <v>440</v>
      </c>
      <c r="B6" s="20" t="s">
        <v>441</v>
      </c>
      <c r="C6" s="20" t="s">
        <v>442</v>
      </c>
      <c r="D6" s="20" t="s">
        <v>443</v>
      </c>
      <c r="E6" s="20" t="s">
        <v>444</v>
      </c>
    </row>
    <row r="7" customFormat="false" ht="32.8" hidden="false" customHeight="false" outlineLevel="0" collapsed="false">
      <c r="A7" s="19" t="s">
        <v>445</v>
      </c>
      <c r="B7" s="20" t="s">
        <v>446</v>
      </c>
      <c r="C7" s="20" t="s">
        <v>447</v>
      </c>
      <c r="D7" s="20" t="s">
        <v>448</v>
      </c>
      <c r="E7" s="20" t="s">
        <v>449</v>
      </c>
    </row>
    <row r="8" customFormat="false" ht="15" hidden="false" customHeight="false" outlineLevel="0" collapsed="false">
      <c r="A8" s="19" t="s">
        <v>450</v>
      </c>
      <c r="B8" s="20" t="s">
        <v>451</v>
      </c>
      <c r="C8" s="20" t="s">
        <v>452</v>
      </c>
      <c r="D8" s="20" t="s">
        <v>453</v>
      </c>
      <c r="E8" s="20" t="s">
        <v>454</v>
      </c>
    </row>
    <row r="9" customFormat="false" ht="22.35" hidden="false" customHeight="false" outlineLevel="0" collapsed="false">
      <c r="A9" s="19" t="s">
        <v>455</v>
      </c>
      <c r="B9" s="20" t="s">
        <v>456</v>
      </c>
      <c r="C9" s="20" t="s">
        <v>457</v>
      </c>
      <c r="D9" s="20" t="s">
        <v>458</v>
      </c>
      <c r="E9" s="20" t="s">
        <v>459</v>
      </c>
    </row>
    <row r="10" customFormat="false" ht="32.8" hidden="false" customHeight="false" outlineLevel="0" collapsed="false">
      <c r="A10" s="19" t="s">
        <v>460</v>
      </c>
      <c r="B10" s="20" t="s">
        <v>461</v>
      </c>
      <c r="C10" s="20" t="s">
        <v>462</v>
      </c>
      <c r="D10" s="20" t="s">
        <v>463</v>
      </c>
      <c r="E10" s="20" t="s">
        <v>464</v>
      </c>
    </row>
    <row r="11" customFormat="false" ht="22.35" hidden="false" customHeight="false" outlineLevel="0" collapsed="false">
      <c r="A11" s="19" t="s">
        <v>465</v>
      </c>
      <c r="B11" s="20" t="s">
        <v>466</v>
      </c>
      <c r="C11" s="20" t="s">
        <v>467</v>
      </c>
      <c r="D11" s="20" t="s">
        <v>468</v>
      </c>
      <c r="E11" s="20" t="s">
        <v>469</v>
      </c>
    </row>
    <row r="12" customFormat="false" ht="32.8" hidden="false" customHeight="false" outlineLevel="0" collapsed="false">
      <c r="A12" s="19" t="s">
        <v>470</v>
      </c>
      <c r="B12" s="20" t="s">
        <v>471</v>
      </c>
      <c r="C12" s="20" t="s">
        <v>472</v>
      </c>
      <c r="D12" s="20" t="s">
        <v>473</v>
      </c>
      <c r="E12" s="20" t="s">
        <v>474</v>
      </c>
    </row>
    <row r="13" customFormat="false" ht="32.8" hidden="false" customHeight="false" outlineLevel="0" collapsed="false">
      <c r="A13" s="19" t="s">
        <v>475</v>
      </c>
      <c r="B13" s="20" t="s">
        <v>476</v>
      </c>
      <c r="C13" s="20" t="s">
        <v>477</v>
      </c>
      <c r="D13" s="20" t="s">
        <v>478</v>
      </c>
      <c r="E13" s="20" t="s">
        <v>479</v>
      </c>
    </row>
    <row r="14" customFormat="false" ht="32.8" hidden="false" customHeight="false" outlineLevel="0" collapsed="false">
      <c r="A14" s="19" t="s">
        <v>480</v>
      </c>
      <c r="B14" s="20" t="s">
        <v>481</v>
      </c>
      <c r="C14" s="20" t="s">
        <v>482</v>
      </c>
      <c r="D14" s="20" t="s">
        <v>483</v>
      </c>
      <c r="E14" s="20" t="s">
        <v>484</v>
      </c>
    </row>
    <row r="15" customFormat="false" ht="32.8" hidden="false" customHeight="false" outlineLevel="0" collapsed="false">
      <c r="A15" s="19" t="s">
        <v>485</v>
      </c>
      <c r="B15" s="20" t="s">
        <v>486</v>
      </c>
      <c r="C15" s="20" t="s">
        <v>487</v>
      </c>
      <c r="D15" s="20" t="s">
        <v>488</v>
      </c>
      <c r="E15" s="20" t="s">
        <v>489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6"/>
    <col collapsed="false" customWidth="true" hidden="false" outlineLevel="0" max="4" min="4" style="0" width="11"/>
    <col collapsed="false" customWidth="true" hidden="false" outlineLevel="0" max="5" min="5" style="0" width="38"/>
    <col collapsed="false" customWidth="true" hidden="false" outlineLevel="0" max="6" min="6" style="0" width="28"/>
    <col collapsed="false" customWidth="true" hidden="false" outlineLevel="0" max="7" min="7" style="0" width="36"/>
    <col collapsed="false" customWidth="true" hidden="false" outlineLevel="0" max="8" min="8" style="0" width="24"/>
    <col collapsed="false" customWidth="true" hidden="false" outlineLevel="0" max="9" min="9" style="0" width="34"/>
    <col collapsed="false" customWidth="true" hidden="false" outlineLevel="0" max="10" min="10" style="0" width="14"/>
    <col collapsed="false" customWidth="true" hidden="false" outlineLevel="0" max="11" min="11" style="0" width="42"/>
    <col collapsed="false" customWidth="true" hidden="false" outlineLevel="0" max="12" min="12" style="0" width="18"/>
    <col collapsed="false" customWidth="true" hidden="false" outlineLevel="0" max="13" min="13" style="0" width="12"/>
    <col collapsed="false" customWidth="true" hidden="false" outlineLevel="0" max="14" min="14" style="0" width="46"/>
  </cols>
  <sheetData>
    <row r="1" customFormat="false" ht="17.35" hidden="false" customHeight="false" outlineLevel="0" collapsed="false">
      <c r="A1" s="1" t="s">
        <v>490</v>
      </c>
    </row>
    <row r="2" customFormat="false" ht="42" hidden="false" customHeight="true" outlineLevel="0" collapsed="false">
      <c r="A2" s="18" t="s">
        <v>491</v>
      </c>
      <c r="B2" s="18"/>
      <c r="C2" s="18"/>
      <c r="D2" s="18"/>
      <c r="E2" s="18"/>
      <c r="F2" s="18"/>
      <c r="G2" s="18"/>
      <c r="H2" s="18"/>
      <c r="I2" s="18"/>
      <c r="J2" s="18"/>
      <c r="K2" s="18"/>
      <c r="L2" s="18"/>
      <c r="M2" s="18"/>
      <c r="N2" s="18"/>
    </row>
    <row r="4" customFormat="false" ht="23.85" hidden="false" customHeight="false" outlineLevel="0" collapsed="false">
      <c r="A4" s="3" t="s">
        <v>40</v>
      </c>
      <c r="B4" s="3" t="s">
        <v>492</v>
      </c>
      <c r="C4" s="3" t="s">
        <v>493</v>
      </c>
      <c r="D4" s="3" t="s">
        <v>301</v>
      </c>
      <c r="E4" s="3" t="s">
        <v>494</v>
      </c>
      <c r="F4" s="3" t="s">
        <v>495</v>
      </c>
      <c r="G4" s="3" t="s">
        <v>496</v>
      </c>
      <c r="H4" s="3" t="s">
        <v>497</v>
      </c>
      <c r="I4" s="3" t="s">
        <v>498</v>
      </c>
      <c r="J4" s="3" t="s">
        <v>499</v>
      </c>
      <c r="K4" s="3" t="s">
        <v>500</v>
      </c>
      <c r="L4" s="3" t="s">
        <v>2</v>
      </c>
      <c r="M4" s="3" t="s">
        <v>501</v>
      </c>
      <c r="N4" s="3" t="s">
        <v>12</v>
      </c>
    </row>
    <row r="5" customFormat="false" ht="22.35" hidden="false" customHeight="false" outlineLevel="0" collapsed="false">
      <c r="A5" s="24" t="s">
        <v>502</v>
      </c>
      <c r="B5" s="21" t="s">
        <v>503</v>
      </c>
      <c r="C5" s="20" t="s">
        <v>504</v>
      </c>
      <c r="D5" s="21" t="s">
        <v>50</v>
      </c>
      <c r="E5" s="20" t="s">
        <v>505</v>
      </c>
      <c r="F5" s="20" t="s">
        <v>506</v>
      </c>
      <c r="G5" s="20" t="s">
        <v>507</v>
      </c>
      <c r="H5" s="20" t="s">
        <v>508</v>
      </c>
      <c r="I5" s="20" t="s">
        <v>509</v>
      </c>
      <c r="J5" s="21" t="s">
        <v>510</v>
      </c>
      <c r="K5" s="20" t="s">
        <v>511</v>
      </c>
      <c r="L5" s="21" t="s">
        <v>10</v>
      </c>
      <c r="M5" s="21" t="s">
        <v>512</v>
      </c>
      <c r="N5" s="20"/>
    </row>
    <row r="6" customFormat="false" ht="22.35" hidden="false" customHeight="false" outlineLevel="0" collapsed="false">
      <c r="A6" s="24" t="s">
        <v>513</v>
      </c>
      <c r="B6" s="21" t="s">
        <v>254</v>
      </c>
      <c r="C6" s="20" t="s">
        <v>47</v>
      </c>
      <c r="D6" s="21" t="s">
        <v>50</v>
      </c>
      <c r="E6" s="20" t="s">
        <v>514</v>
      </c>
      <c r="F6" s="20" t="s">
        <v>506</v>
      </c>
      <c r="G6" s="20" t="s">
        <v>515</v>
      </c>
      <c r="H6" s="20" t="s">
        <v>514</v>
      </c>
      <c r="I6" s="20" t="s">
        <v>516</v>
      </c>
      <c r="J6" s="21" t="s">
        <v>510</v>
      </c>
      <c r="K6" s="20" t="s">
        <v>517</v>
      </c>
      <c r="L6" s="21" t="s">
        <v>10</v>
      </c>
      <c r="M6" s="21" t="s">
        <v>512</v>
      </c>
      <c r="N6" s="20"/>
    </row>
    <row r="7" customFormat="false" ht="22.35" hidden="false" customHeight="false" outlineLevel="0" collapsed="false">
      <c r="A7" s="24" t="s">
        <v>518</v>
      </c>
      <c r="B7" s="21" t="s">
        <v>254</v>
      </c>
      <c r="C7" s="20" t="s">
        <v>47</v>
      </c>
      <c r="D7" s="21" t="s">
        <v>50</v>
      </c>
      <c r="E7" s="20" t="s">
        <v>519</v>
      </c>
      <c r="F7" s="20" t="s">
        <v>105</v>
      </c>
      <c r="G7" s="20" t="s">
        <v>520</v>
      </c>
      <c r="H7" s="20" t="s">
        <v>521</v>
      </c>
      <c r="I7" s="20" t="s">
        <v>522</v>
      </c>
      <c r="J7" s="21" t="s">
        <v>510</v>
      </c>
      <c r="K7" s="20" t="s">
        <v>517</v>
      </c>
      <c r="L7" s="21" t="s">
        <v>10</v>
      </c>
      <c r="M7" s="21" t="s">
        <v>512</v>
      </c>
      <c r="N7" s="20"/>
    </row>
    <row r="8" customFormat="false" ht="22.35" hidden="false" customHeight="false" outlineLevel="0" collapsed="false">
      <c r="A8" s="24" t="s">
        <v>523</v>
      </c>
      <c r="B8" s="21" t="s">
        <v>254</v>
      </c>
      <c r="C8" s="20" t="s">
        <v>524</v>
      </c>
      <c r="D8" s="21" t="s">
        <v>189</v>
      </c>
      <c r="E8" s="20" t="s">
        <v>525</v>
      </c>
      <c r="F8" s="20" t="s">
        <v>526</v>
      </c>
      <c r="G8" s="20" t="s">
        <v>527</v>
      </c>
      <c r="H8" s="20" t="s">
        <v>105</v>
      </c>
      <c r="I8" s="20" t="s">
        <v>528</v>
      </c>
      <c r="J8" s="21" t="s">
        <v>510</v>
      </c>
      <c r="K8" s="20" t="s">
        <v>529</v>
      </c>
      <c r="L8" s="21" t="s">
        <v>10</v>
      </c>
      <c r="M8" s="21" t="s">
        <v>512</v>
      </c>
      <c r="N8" s="20"/>
    </row>
    <row r="9" customFormat="false" ht="22.35" hidden="false" customHeight="false" outlineLevel="0" collapsed="false">
      <c r="A9" s="24" t="s">
        <v>530</v>
      </c>
      <c r="B9" s="21" t="s">
        <v>254</v>
      </c>
      <c r="C9" s="20" t="s">
        <v>524</v>
      </c>
      <c r="D9" s="21" t="s">
        <v>170</v>
      </c>
      <c r="E9" s="20" t="s">
        <v>531</v>
      </c>
      <c r="F9" s="20" t="s">
        <v>526</v>
      </c>
      <c r="G9" s="20" t="s">
        <v>532</v>
      </c>
      <c r="H9" s="20" t="s">
        <v>105</v>
      </c>
      <c r="I9" s="20" t="s">
        <v>528</v>
      </c>
      <c r="J9" s="21" t="s">
        <v>510</v>
      </c>
      <c r="K9" s="20" t="s">
        <v>529</v>
      </c>
      <c r="L9" s="21" t="s">
        <v>10</v>
      </c>
      <c r="M9" s="21" t="s">
        <v>512</v>
      </c>
      <c r="N9" s="20"/>
    </row>
    <row r="10" customFormat="false" ht="22.35" hidden="false" customHeight="false" outlineLevel="0" collapsed="false">
      <c r="A10" s="24" t="s">
        <v>533</v>
      </c>
      <c r="B10" s="21" t="s">
        <v>503</v>
      </c>
      <c r="C10" s="20" t="s">
        <v>58</v>
      </c>
      <c r="D10" s="21" t="s">
        <v>60</v>
      </c>
      <c r="E10" s="20" t="s">
        <v>59</v>
      </c>
      <c r="F10" s="20" t="s">
        <v>534</v>
      </c>
      <c r="G10" s="20" t="s">
        <v>61</v>
      </c>
      <c r="H10" s="20" t="s">
        <v>105</v>
      </c>
      <c r="I10" s="20" t="s">
        <v>535</v>
      </c>
      <c r="J10" s="21" t="s">
        <v>510</v>
      </c>
      <c r="K10" s="20" t="s">
        <v>536</v>
      </c>
      <c r="L10" s="21" t="s">
        <v>10</v>
      </c>
      <c r="M10" s="21" t="s">
        <v>512</v>
      </c>
      <c r="N10" s="20" t="s">
        <v>537</v>
      </c>
    </row>
    <row r="11" customFormat="false" ht="32.8" hidden="false" customHeight="false" outlineLevel="0" collapsed="false">
      <c r="A11" s="24" t="s">
        <v>538</v>
      </c>
      <c r="B11" s="21" t="s">
        <v>503</v>
      </c>
      <c r="C11" s="20" t="s">
        <v>539</v>
      </c>
      <c r="D11" s="21" t="s">
        <v>73</v>
      </c>
      <c r="E11" s="20" t="s">
        <v>540</v>
      </c>
      <c r="F11" s="20" t="s">
        <v>541</v>
      </c>
      <c r="G11" s="20" t="s">
        <v>542</v>
      </c>
      <c r="H11" s="20" t="s">
        <v>543</v>
      </c>
      <c r="I11" s="20" t="s">
        <v>544</v>
      </c>
      <c r="J11" s="21" t="s">
        <v>510</v>
      </c>
      <c r="K11" s="20" t="s">
        <v>545</v>
      </c>
      <c r="L11" s="21" t="s">
        <v>10</v>
      </c>
      <c r="M11" s="21" t="s">
        <v>512</v>
      </c>
      <c r="N11" s="20"/>
    </row>
    <row r="12" customFormat="false" ht="22.35" hidden="false" customHeight="false" outlineLevel="0" collapsed="false">
      <c r="A12" s="24" t="s">
        <v>546</v>
      </c>
      <c r="B12" s="21" t="s">
        <v>547</v>
      </c>
      <c r="C12" s="20" t="s">
        <v>548</v>
      </c>
      <c r="D12" s="21" t="s">
        <v>73</v>
      </c>
      <c r="E12" s="20" t="s">
        <v>549</v>
      </c>
      <c r="F12" s="20" t="s">
        <v>105</v>
      </c>
      <c r="G12" s="20" t="s">
        <v>550</v>
      </c>
      <c r="H12" s="20" t="s">
        <v>551</v>
      </c>
      <c r="I12" s="20" t="s">
        <v>552</v>
      </c>
      <c r="J12" s="21" t="s">
        <v>510</v>
      </c>
      <c r="K12" s="20" t="s">
        <v>553</v>
      </c>
      <c r="L12" s="21" t="s">
        <v>10</v>
      </c>
      <c r="M12" s="21" t="s">
        <v>512</v>
      </c>
      <c r="N12" s="20"/>
    </row>
    <row r="13" customFormat="false" ht="22.35" hidden="false" customHeight="false" outlineLevel="0" collapsed="false">
      <c r="A13" s="24" t="s">
        <v>554</v>
      </c>
      <c r="B13" s="21" t="s">
        <v>547</v>
      </c>
      <c r="C13" s="20" t="s">
        <v>284</v>
      </c>
      <c r="D13" s="21" t="s">
        <v>73</v>
      </c>
      <c r="E13" s="20" t="s">
        <v>555</v>
      </c>
      <c r="F13" s="20" t="s">
        <v>105</v>
      </c>
      <c r="G13" s="20" t="s">
        <v>556</v>
      </c>
      <c r="H13" s="20" t="s">
        <v>557</v>
      </c>
      <c r="I13" s="20" t="s">
        <v>552</v>
      </c>
      <c r="J13" s="21" t="s">
        <v>510</v>
      </c>
      <c r="K13" s="20" t="s">
        <v>553</v>
      </c>
      <c r="L13" s="21" t="s">
        <v>10</v>
      </c>
      <c r="M13" s="21" t="s">
        <v>512</v>
      </c>
      <c r="N13" s="20"/>
    </row>
    <row r="14" customFormat="false" ht="22.35" hidden="false" customHeight="false" outlineLevel="0" collapsed="false">
      <c r="A14" s="24" t="s">
        <v>558</v>
      </c>
      <c r="B14" s="21" t="s">
        <v>547</v>
      </c>
      <c r="C14" s="20" t="s">
        <v>559</v>
      </c>
      <c r="D14" s="21" t="s">
        <v>73</v>
      </c>
      <c r="E14" s="20" t="s">
        <v>560</v>
      </c>
      <c r="F14" s="20" t="s">
        <v>105</v>
      </c>
      <c r="G14" s="20" t="s">
        <v>561</v>
      </c>
      <c r="H14" s="20" t="s">
        <v>562</v>
      </c>
      <c r="I14" s="20" t="s">
        <v>552</v>
      </c>
      <c r="J14" s="21" t="s">
        <v>510</v>
      </c>
      <c r="K14" s="20" t="s">
        <v>553</v>
      </c>
      <c r="L14" s="21" t="s">
        <v>10</v>
      </c>
      <c r="M14" s="21" t="s">
        <v>512</v>
      </c>
      <c r="N14" s="20"/>
    </row>
    <row r="15" customFormat="false" ht="22.35" hidden="false" customHeight="false" outlineLevel="0" collapsed="false">
      <c r="A15" s="24" t="s">
        <v>563</v>
      </c>
      <c r="B15" s="21" t="s">
        <v>547</v>
      </c>
      <c r="C15" s="20" t="s">
        <v>82</v>
      </c>
      <c r="D15" s="21" t="s">
        <v>73</v>
      </c>
      <c r="E15" s="20" t="s">
        <v>564</v>
      </c>
      <c r="F15" s="20" t="s">
        <v>105</v>
      </c>
      <c r="G15" s="20" t="s">
        <v>565</v>
      </c>
      <c r="H15" s="20" t="s">
        <v>566</v>
      </c>
      <c r="I15" s="20" t="s">
        <v>552</v>
      </c>
      <c r="J15" s="21" t="s">
        <v>510</v>
      </c>
      <c r="K15" s="20" t="s">
        <v>553</v>
      </c>
      <c r="L15" s="21" t="s">
        <v>10</v>
      </c>
      <c r="M15" s="21" t="s">
        <v>512</v>
      </c>
      <c r="N15" s="20"/>
    </row>
    <row r="16" customFormat="false" ht="22.35" hidden="false" customHeight="false" outlineLevel="0" collapsed="false">
      <c r="A16" s="24" t="s">
        <v>567</v>
      </c>
      <c r="B16" s="21" t="s">
        <v>547</v>
      </c>
      <c r="C16" s="20" t="s">
        <v>71</v>
      </c>
      <c r="D16" s="21" t="s">
        <v>73</v>
      </c>
      <c r="E16" s="20" t="s">
        <v>568</v>
      </c>
      <c r="F16" s="20" t="s">
        <v>105</v>
      </c>
      <c r="G16" s="20" t="s">
        <v>569</v>
      </c>
      <c r="H16" s="20" t="s">
        <v>570</v>
      </c>
      <c r="I16" s="20" t="s">
        <v>552</v>
      </c>
      <c r="J16" s="21" t="s">
        <v>510</v>
      </c>
      <c r="K16" s="20" t="s">
        <v>553</v>
      </c>
      <c r="L16" s="21" t="s">
        <v>10</v>
      </c>
      <c r="M16" s="21" t="s">
        <v>512</v>
      </c>
      <c r="N16" s="20"/>
    </row>
    <row r="17" customFormat="false" ht="22.35" hidden="false" customHeight="false" outlineLevel="0" collapsed="false">
      <c r="A17" s="24" t="s">
        <v>571</v>
      </c>
      <c r="B17" s="21" t="s">
        <v>503</v>
      </c>
      <c r="C17" s="20" t="s">
        <v>96</v>
      </c>
      <c r="D17" s="21" t="s">
        <v>73</v>
      </c>
      <c r="E17" s="20" t="s">
        <v>572</v>
      </c>
      <c r="F17" s="20" t="s">
        <v>105</v>
      </c>
      <c r="G17" s="20" t="s">
        <v>573</v>
      </c>
      <c r="H17" s="20" t="s">
        <v>574</v>
      </c>
      <c r="I17" s="20" t="s">
        <v>575</v>
      </c>
      <c r="J17" s="21" t="s">
        <v>510</v>
      </c>
      <c r="K17" s="20" t="s">
        <v>576</v>
      </c>
      <c r="L17" s="21" t="s">
        <v>10</v>
      </c>
      <c r="M17" s="21" t="s">
        <v>512</v>
      </c>
      <c r="N17" s="20"/>
    </row>
    <row r="18" customFormat="false" ht="22.35" hidden="false" customHeight="false" outlineLevel="0" collapsed="false">
      <c r="A18" s="24" t="s">
        <v>577</v>
      </c>
      <c r="B18" s="21" t="s">
        <v>254</v>
      </c>
      <c r="C18" s="20" t="s">
        <v>274</v>
      </c>
      <c r="D18" s="21" t="s">
        <v>73</v>
      </c>
      <c r="E18" s="20" t="s">
        <v>578</v>
      </c>
      <c r="F18" s="20" t="s">
        <v>579</v>
      </c>
      <c r="G18" s="20" t="s">
        <v>580</v>
      </c>
      <c r="H18" s="20" t="s">
        <v>105</v>
      </c>
      <c r="I18" s="20" t="s">
        <v>581</v>
      </c>
      <c r="J18" s="21" t="s">
        <v>510</v>
      </c>
      <c r="K18" s="20" t="s">
        <v>581</v>
      </c>
      <c r="L18" s="21" t="s">
        <v>10</v>
      </c>
      <c r="M18" s="21" t="s">
        <v>512</v>
      </c>
      <c r="N18" s="20"/>
    </row>
    <row r="19" customFormat="false" ht="22.35" hidden="false" customHeight="false" outlineLevel="0" collapsed="false">
      <c r="A19" s="24" t="s">
        <v>582</v>
      </c>
      <c r="B19" s="21" t="s">
        <v>503</v>
      </c>
      <c r="C19" s="20" t="s">
        <v>583</v>
      </c>
      <c r="D19" s="21" t="s">
        <v>121</v>
      </c>
      <c r="E19" s="20" t="s">
        <v>584</v>
      </c>
      <c r="F19" s="20" t="s">
        <v>105</v>
      </c>
      <c r="G19" s="20" t="s">
        <v>585</v>
      </c>
      <c r="H19" s="20" t="s">
        <v>586</v>
      </c>
      <c r="I19" s="20" t="s">
        <v>587</v>
      </c>
      <c r="J19" s="21" t="s">
        <v>510</v>
      </c>
      <c r="K19" s="20" t="s">
        <v>588</v>
      </c>
      <c r="L19" s="21" t="s">
        <v>10</v>
      </c>
      <c r="M19" s="21" t="s">
        <v>512</v>
      </c>
      <c r="N19" s="20"/>
    </row>
    <row r="20" customFormat="false" ht="22.35" hidden="false" customHeight="false" outlineLevel="0" collapsed="false">
      <c r="A20" s="24" t="s">
        <v>589</v>
      </c>
      <c r="B20" s="21" t="s">
        <v>503</v>
      </c>
      <c r="C20" s="20" t="s">
        <v>583</v>
      </c>
      <c r="D20" s="21" t="s">
        <v>121</v>
      </c>
      <c r="E20" s="20" t="s">
        <v>590</v>
      </c>
      <c r="F20" s="20" t="s">
        <v>105</v>
      </c>
      <c r="G20" s="20" t="s">
        <v>585</v>
      </c>
      <c r="H20" s="20" t="s">
        <v>591</v>
      </c>
      <c r="I20" s="20" t="s">
        <v>592</v>
      </c>
      <c r="J20" s="21" t="s">
        <v>510</v>
      </c>
      <c r="K20" s="20" t="s">
        <v>593</v>
      </c>
      <c r="L20" s="21" t="s">
        <v>10</v>
      </c>
      <c r="M20" s="21" t="s">
        <v>512</v>
      </c>
      <c r="N20" s="20"/>
    </row>
    <row r="21" customFormat="false" ht="22.35" hidden="false" customHeight="false" outlineLevel="0" collapsed="false">
      <c r="A21" s="24" t="s">
        <v>594</v>
      </c>
      <c r="B21" s="21" t="s">
        <v>503</v>
      </c>
      <c r="C21" s="20" t="s">
        <v>583</v>
      </c>
      <c r="D21" s="21" t="s">
        <v>121</v>
      </c>
      <c r="E21" s="20" t="s">
        <v>595</v>
      </c>
      <c r="F21" s="20" t="s">
        <v>105</v>
      </c>
      <c r="G21" s="20" t="s">
        <v>585</v>
      </c>
      <c r="H21" s="20" t="s">
        <v>596</v>
      </c>
      <c r="I21" s="20" t="s">
        <v>592</v>
      </c>
      <c r="J21" s="21" t="s">
        <v>510</v>
      </c>
      <c r="K21" s="20" t="s">
        <v>593</v>
      </c>
      <c r="L21" s="21" t="s">
        <v>10</v>
      </c>
      <c r="M21" s="21" t="s">
        <v>512</v>
      </c>
      <c r="N21" s="20"/>
    </row>
    <row r="22" customFormat="false" ht="22.35" hidden="false" customHeight="false" outlineLevel="0" collapsed="false">
      <c r="A22" s="24" t="s">
        <v>597</v>
      </c>
      <c r="B22" s="21" t="s">
        <v>503</v>
      </c>
      <c r="C22" s="20" t="s">
        <v>583</v>
      </c>
      <c r="D22" s="21" t="s">
        <v>121</v>
      </c>
      <c r="E22" s="20" t="s">
        <v>598</v>
      </c>
      <c r="F22" s="20" t="s">
        <v>105</v>
      </c>
      <c r="G22" s="20" t="s">
        <v>585</v>
      </c>
      <c r="H22" s="20" t="s">
        <v>599</v>
      </c>
      <c r="I22" s="20" t="s">
        <v>600</v>
      </c>
      <c r="J22" s="21" t="s">
        <v>510</v>
      </c>
      <c r="K22" s="20" t="s">
        <v>601</v>
      </c>
      <c r="L22" s="21" t="s">
        <v>10</v>
      </c>
      <c r="M22" s="21" t="s">
        <v>512</v>
      </c>
      <c r="N22" s="20"/>
    </row>
    <row r="23" customFormat="false" ht="22.35" hidden="false" customHeight="false" outlineLevel="0" collapsed="false">
      <c r="A23" s="24" t="s">
        <v>602</v>
      </c>
      <c r="B23" s="21" t="s">
        <v>503</v>
      </c>
      <c r="C23" s="20" t="s">
        <v>583</v>
      </c>
      <c r="D23" s="21" t="s">
        <v>121</v>
      </c>
      <c r="E23" s="20" t="s">
        <v>603</v>
      </c>
      <c r="F23" s="20" t="s">
        <v>105</v>
      </c>
      <c r="G23" s="20" t="s">
        <v>585</v>
      </c>
      <c r="H23" s="20" t="s">
        <v>604</v>
      </c>
      <c r="I23" s="20" t="s">
        <v>600</v>
      </c>
      <c r="J23" s="21" t="s">
        <v>510</v>
      </c>
      <c r="K23" s="20" t="s">
        <v>601</v>
      </c>
      <c r="L23" s="21" t="s">
        <v>10</v>
      </c>
      <c r="M23" s="21" t="s">
        <v>512</v>
      </c>
      <c r="N23" s="20"/>
    </row>
    <row r="24" customFormat="false" ht="22.35" hidden="false" customHeight="false" outlineLevel="0" collapsed="false">
      <c r="A24" s="24" t="s">
        <v>605</v>
      </c>
      <c r="B24" s="21" t="s">
        <v>503</v>
      </c>
      <c r="C24" s="20" t="s">
        <v>583</v>
      </c>
      <c r="D24" s="21" t="s">
        <v>121</v>
      </c>
      <c r="E24" s="20" t="s">
        <v>606</v>
      </c>
      <c r="F24" s="20" t="s">
        <v>105</v>
      </c>
      <c r="G24" s="20" t="s">
        <v>585</v>
      </c>
      <c r="H24" s="20" t="s">
        <v>607</v>
      </c>
      <c r="I24" s="20" t="s">
        <v>608</v>
      </c>
      <c r="J24" s="21" t="s">
        <v>510</v>
      </c>
      <c r="K24" s="20" t="s">
        <v>576</v>
      </c>
      <c r="L24" s="21" t="s">
        <v>10</v>
      </c>
      <c r="M24" s="21" t="s">
        <v>512</v>
      </c>
      <c r="N24" s="20"/>
    </row>
    <row r="25" customFormat="false" ht="22.35" hidden="false" customHeight="false" outlineLevel="0" collapsed="false">
      <c r="A25" s="24" t="s">
        <v>609</v>
      </c>
      <c r="B25" s="21" t="s">
        <v>503</v>
      </c>
      <c r="C25" s="20" t="s">
        <v>583</v>
      </c>
      <c r="D25" s="21" t="s">
        <v>121</v>
      </c>
      <c r="E25" s="20" t="s">
        <v>610</v>
      </c>
      <c r="F25" s="20" t="s">
        <v>105</v>
      </c>
      <c r="G25" s="20" t="s">
        <v>585</v>
      </c>
      <c r="H25" s="20" t="s">
        <v>611</v>
      </c>
      <c r="I25" s="20" t="s">
        <v>587</v>
      </c>
      <c r="J25" s="21" t="s">
        <v>510</v>
      </c>
      <c r="K25" s="20" t="s">
        <v>588</v>
      </c>
      <c r="L25" s="21" t="s">
        <v>10</v>
      </c>
      <c r="M25" s="21" t="s">
        <v>512</v>
      </c>
      <c r="N25" s="20"/>
    </row>
    <row r="26" customFormat="false" ht="22.35" hidden="false" customHeight="false" outlineLevel="0" collapsed="false">
      <c r="A26" s="24" t="s">
        <v>612</v>
      </c>
      <c r="B26" s="21" t="s">
        <v>503</v>
      </c>
      <c r="C26" s="20" t="s">
        <v>118</v>
      </c>
      <c r="D26" s="21" t="s">
        <v>121</v>
      </c>
      <c r="E26" s="20" t="s">
        <v>613</v>
      </c>
      <c r="F26" s="20" t="s">
        <v>105</v>
      </c>
      <c r="G26" s="20" t="s">
        <v>614</v>
      </c>
      <c r="H26" s="20" t="s">
        <v>615</v>
      </c>
      <c r="I26" s="20" t="s">
        <v>616</v>
      </c>
      <c r="J26" s="21" t="s">
        <v>510</v>
      </c>
      <c r="K26" s="20" t="s">
        <v>617</v>
      </c>
      <c r="L26" s="21" t="s">
        <v>10</v>
      </c>
      <c r="M26" s="21" t="s">
        <v>512</v>
      </c>
      <c r="N26" s="20"/>
    </row>
    <row r="27" customFormat="false" ht="22.35" hidden="false" customHeight="false" outlineLevel="0" collapsed="false">
      <c r="A27" s="24" t="s">
        <v>618</v>
      </c>
      <c r="B27" s="21" t="s">
        <v>503</v>
      </c>
      <c r="C27" s="20" t="s">
        <v>186</v>
      </c>
      <c r="D27" s="21" t="s">
        <v>189</v>
      </c>
      <c r="E27" s="20" t="s">
        <v>619</v>
      </c>
      <c r="F27" s="20" t="s">
        <v>620</v>
      </c>
      <c r="G27" s="20" t="s">
        <v>621</v>
      </c>
      <c r="H27" s="20" t="s">
        <v>105</v>
      </c>
      <c r="I27" s="20" t="s">
        <v>622</v>
      </c>
      <c r="J27" s="21" t="s">
        <v>510</v>
      </c>
      <c r="K27" s="20" t="s">
        <v>623</v>
      </c>
      <c r="L27" s="21" t="s">
        <v>10</v>
      </c>
      <c r="M27" s="21" t="s">
        <v>512</v>
      </c>
      <c r="N27" s="20"/>
    </row>
    <row r="28" customFormat="false" ht="22.35" hidden="false" customHeight="false" outlineLevel="0" collapsed="false">
      <c r="A28" s="24" t="s">
        <v>624</v>
      </c>
      <c r="B28" s="21" t="s">
        <v>254</v>
      </c>
      <c r="C28" s="20" t="s">
        <v>274</v>
      </c>
      <c r="D28" s="21" t="s">
        <v>189</v>
      </c>
      <c r="E28" s="20" t="s">
        <v>625</v>
      </c>
      <c r="F28" s="20" t="s">
        <v>626</v>
      </c>
      <c r="G28" s="20" t="s">
        <v>627</v>
      </c>
      <c r="H28" s="20" t="s">
        <v>105</v>
      </c>
      <c r="I28" s="20" t="s">
        <v>628</v>
      </c>
      <c r="J28" s="21" t="s">
        <v>510</v>
      </c>
      <c r="K28" s="20" t="s">
        <v>629</v>
      </c>
      <c r="L28" s="21" t="s">
        <v>10</v>
      </c>
      <c r="M28" s="21" t="s">
        <v>512</v>
      </c>
      <c r="N28" s="20"/>
    </row>
    <row r="29" customFormat="false" ht="22.35" hidden="false" customHeight="false" outlineLevel="0" collapsed="false">
      <c r="A29" s="24" t="s">
        <v>630</v>
      </c>
      <c r="B29" s="21" t="s">
        <v>503</v>
      </c>
      <c r="C29" s="20" t="s">
        <v>631</v>
      </c>
      <c r="D29" s="21" t="s">
        <v>146</v>
      </c>
      <c r="E29" s="20" t="s">
        <v>632</v>
      </c>
      <c r="F29" s="20" t="s">
        <v>534</v>
      </c>
      <c r="G29" s="20" t="s">
        <v>341</v>
      </c>
      <c r="H29" s="20" t="s">
        <v>105</v>
      </c>
      <c r="I29" s="20" t="s">
        <v>633</v>
      </c>
      <c r="J29" s="21" t="s">
        <v>510</v>
      </c>
      <c r="K29" s="20" t="s">
        <v>634</v>
      </c>
      <c r="L29" s="21" t="s">
        <v>10</v>
      </c>
      <c r="M29" s="21" t="s">
        <v>512</v>
      </c>
      <c r="N29" s="20"/>
    </row>
    <row r="30" customFormat="false" ht="22.35" hidden="false" customHeight="false" outlineLevel="0" collapsed="false">
      <c r="A30" s="24" t="s">
        <v>635</v>
      </c>
      <c r="B30" s="21" t="s">
        <v>503</v>
      </c>
      <c r="C30" s="20" t="s">
        <v>153</v>
      </c>
      <c r="D30" s="21" t="s">
        <v>150</v>
      </c>
      <c r="E30" s="20" t="s">
        <v>636</v>
      </c>
      <c r="F30" s="20" t="s">
        <v>637</v>
      </c>
      <c r="G30" s="20" t="s">
        <v>638</v>
      </c>
      <c r="H30" s="20" t="s">
        <v>639</v>
      </c>
      <c r="I30" s="20" t="s">
        <v>640</v>
      </c>
      <c r="J30" s="21" t="s">
        <v>510</v>
      </c>
      <c r="K30" s="20" t="s">
        <v>641</v>
      </c>
      <c r="L30" s="21" t="s">
        <v>10</v>
      </c>
      <c r="M30" s="21" t="s">
        <v>512</v>
      </c>
      <c r="N30" s="20"/>
    </row>
    <row r="31" customFormat="false" ht="22.35" hidden="false" customHeight="false" outlineLevel="0" collapsed="false">
      <c r="A31" s="24" t="s">
        <v>642</v>
      </c>
      <c r="B31" s="21" t="s">
        <v>503</v>
      </c>
      <c r="C31" s="20" t="s">
        <v>160</v>
      </c>
      <c r="D31" s="21" t="s">
        <v>150</v>
      </c>
      <c r="E31" s="20" t="s">
        <v>643</v>
      </c>
      <c r="F31" s="20" t="s">
        <v>637</v>
      </c>
      <c r="G31" s="20" t="s">
        <v>644</v>
      </c>
      <c r="H31" s="20" t="s">
        <v>645</v>
      </c>
      <c r="I31" s="20" t="s">
        <v>640</v>
      </c>
      <c r="J31" s="21" t="s">
        <v>510</v>
      </c>
      <c r="K31" s="20" t="s">
        <v>646</v>
      </c>
      <c r="L31" s="21" t="s">
        <v>10</v>
      </c>
      <c r="M31" s="21" t="s">
        <v>512</v>
      </c>
      <c r="N31" s="20"/>
    </row>
    <row r="32" customFormat="false" ht="22.35" hidden="false" customHeight="false" outlineLevel="0" collapsed="false">
      <c r="A32" s="24" t="s">
        <v>647</v>
      </c>
      <c r="B32" s="21" t="s">
        <v>503</v>
      </c>
      <c r="C32" s="20" t="s">
        <v>156</v>
      </c>
      <c r="D32" s="21" t="s">
        <v>150</v>
      </c>
      <c r="E32" s="20" t="s">
        <v>648</v>
      </c>
      <c r="F32" s="20" t="s">
        <v>637</v>
      </c>
      <c r="G32" s="20" t="s">
        <v>649</v>
      </c>
      <c r="H32" s="20" t="s">
        <v>650</v>
      </c>
      <c r="I32" s="20" t="s">
        <v>640</v>
      </c>
      <c r="J32" s="21" t="s">
        <v>510</v>
      </c>
      <c r="K32" s="20" t="s">
        <v>651</v>
      </c>
      <c r="L32" s="21" t="s">
        <v>10</v>
      </c>
      <c r="M32" s="21" t="s">
        <v>512</v>
      </c>
      <c r="N32" s="20"/>
    </row>
    <row r="33" customFormat="false" ht="22.35" hidden="false" customHeight="false" outlineLevel="0" collapsed="false">
      <c r="A33" s="24" t="s">
        <v>652</v>
      </c>
      <c r="B33" s="21" t="s">
        <v>503</v>
      </c>
      <c r="C33" s="20" t="s">
        <v>148</v>
      </c>
      <c r="D33" s="21" t="s">
        <v>150</v>
      </c>
      <c r="E33" s="20" t="s">
        <v>653</v>
      </c>
      <c r="F33" s="20" t="s">
        <v>637</v>
      </c>
      <c r="G33" s="20" t="s">
        <v>654</v>
      </c>
      <c r="H33" s="20" t="s">
        <v>655</v>
      </c>
      <c r="I33" s="20" t="s">
        <v>640</v>
      </c>
      <c r="J33" s="21" t="s">
        <v>510</v>
      </c>
      <c r="K33" s="20" t="s">
        <v>646</v>
      </c>
      <c r="L33" s="21" t="s">
        <v>10</v>
      </c>
      <c r="M33" s="21" t="s">
        <v>512</v>
      </c>
      <c r="N33" s="20"/>
    </row>
    <row r="34" customFormat="false" ht="22.35" hidden="false" customHeight="false" outlineLevel="0" collapsed="false">
      <c r="A34" s="24" t="s">
        <v>656</v>
      </c>
      <c r="B34" s="21" t="s">
        <v>503</v>
      </c>
      <c r="C34" s="20" t="s">
        <v>163</v>
      </c>
      <c r="D34" s="21" t="s">
        <v>150</v>
      </c>
      <c r="E34" s="20" t="s">
        <v>657</v>
      </c>
      <c r="F34" s="20" t="s">
        <v>658</v>
      </c>
      <c r="G34" s="20" t="s">
        <v>659</v>
      </c>
      <c r="H34" s="20" t="s">
        <v>660</v>
      </c>
      <c r="I34" s="20" t="s">
        <v>661</v>
      </c>
      <c r="J34" s="21" t="s">
        <v>510</v>
      </c>
      <c r="K34" s="20" t="s">
        <v>662</v>
      </c>
      <c r="L34" s="21" t="s">
        <v>10</v>
      </c>
      <c r="M34" s="21" t="s">
        <v>512</v>
      </c>
      <c r="N34" s="20"/>
    </row>
    <row r="35" customFormat="false" ht="22.35" hidden="false" customHeight="false" outlineLevel="0" collapsed="false">
      <c r="A35" s="24" t="s">
        <v>663</v>
      </c>
      <c r="B35" s="21" t="s">
        <v>547</v>
      </c>
      <c r="C35" s="20" t="s">
        <v>163</v>
      </c>
      <c r="D35" s="21" t="s">
        <v>150</v>
      </c>
      <c r="E35" s="20" t="s">
        <v>664</v>
      </c>
      <c r="F35" s="20" t="s">
        <v>105</v>
      </c>
      <c r="G35" s="20" t="s">
        <v>665</v>
      </c>
      <c r="H35" s="20" t="s">
        <v>666</v>
      </c>
      <c r="I35" s="20" t="s">
        <v>667</v>
      </c>
      <c r="J35" s="21" t="s">
        <v>510</v>
      </c>
      <c r="K35" s="20" t="s">
        <v>553</v>
      </c>
      <c r="L35" s="21" t="s">
        <v>10</v>
      </c>
      <c r="M35" s="21" t="s">
        <v>512</v>
      </c>
      <c r="N35" s="20"/>
    </row>
    <row r="36" customFormat="false" ht="22.35" hidden="false" customHeight="false" outlineLevel="0" collapsed="false">
      <c r="A36" s="24" t="s">
        <v>668</v>
      </c>
      <c r="B36" s="21" t="s">
        <v>547</v>
      </c>
      <c r="C36" s="20" t="s">
        <v>153</v>
      </c>
      <c r="D36" s="21" t="s">
        <v>150</v>
      </c>
      <c r="E36" s="20" t="s">
        <v>669</v>
      </c>
      <c r="F36" s="20" t="s">
        <v>105</v>
      </c>
      <c r="G36" s="20" t="s">
        <v>670</v>
      </c>
      <c r="H36" s="20" t="s">
        <v>671</v>
      </c>
      <c r="I36" s="20" t="s">
        <v>667</v>
      </c>
      <c r="J36" s="21" t="s">
        <v>510</v>
      </c>
      <c r="K36" s="20" t="s">
        <v>553</v>
      </c>
      <c r="L36" s="21" t="s">
        <v>10</v>
      </c>
      <c r="M36" s="21" t="s">
        <v>512</v>
      </c>
      <c r="N36" s="20"/>
    </row>
    <row r="37" customFormat="false" ht="22.35" hidden="false" customHeight="false" outlineLevel="0" collapsed="false">
      <c r="A37" s="24" t="s">
        <v>672</v>
      </c>
      <c r="B37" s="21" t="s">
        <v>503</v>
      </c>
      <c r="C37" s="20" t="s">
        <v>140</v>
      </c>
      <c r="D37" s="21" t="s">
        <v>134</v>
      </c>
      <c r="E37" s="20" t="s">
        <v>673</v>
      </c>
      <c r="F37" s="20" t="s">
        <v>674</v>
      </c>
      <c r="G37" s="20" t="s">
        <v>675</v>
      </c>
      <c r="H37" s="20" t="s">
        <v>676</v>
      </c>
      <c r="I37" s="20" t="s">
        <v>677</v>
      </c>
      <c r="J37" s="21" t="s">
        <v>510</v>
      </c>
      <c r="K37" s="20" t="s">
        <v>678</v>
      </c>
      <c r="L37" s="21" t="s">
        <v>10</v>
      </c>
      <c r="M37" s="21" t="s">
        <v>512</v>
      </c>
      <c r="N37" s="20"/>
    </row>
    <row r="38" customFormat="false" ht="22.35" hidden="false" customHeight="false" outlineLevel="0" collapsed="false">
      <c r="A38" s="24" t="s">
        <v>679</v>
      </c>
      <c r="B38" s="21" t="s">
        <v>503</v>
      </c>
      <c r="C38" s="20" t="s">
        <v>131</v>
      </c>
      <c r="D38" s="21" t="s">
        <v>134</v>
      </c>
      <c r="E38" s="20" t="s">
        <v>680</v>
      </c>
      <c r="F38" s="20" t="s">
        <v>674</v>
      </c>
      <c r="G38" s="20" t="s">
        <v>681</v>
      </c>
      <c r="H38" s="20" t="s">
        <v>682</v>
      </c>
      <c r="I38" s="20" t="s">
        <v>683</v>
      </c>
      <c r="J38" s="21" t="s">
        <v>510</v>
      </c>
      <c r="K38" s="20" t="s">
        <v>683</v>
      </c>
      <c r="L38" s="21" t="s">
        <v>10</v>
      </c>
      <c r="M38" s="21" t="s">
        <v>512</v>
      </c>
      <c r="N38" s="20"/>
    </row>
    <row r="39" customFormat="false" ht="22.35" hidden="false" customHeight="false" outlineLevel="0" collapsed="false">
      <c r="A39" s="24" t="s">
        <v>684</v>
      </c>
      <c r="B39" s="21" t="s">
        <v>503</v>
      </c>
      <c r="C39" s="20" t="s">
        <v>137</v>
      </c>
      <c r="D39" s="21" t="s">
        <v>134</v>
      </c>
      <c r="E39" s="20" t="s">
        <v>685</v>
      </c>
      <c r="F39" s="20" t="s">
        <v>686</v>
      </c>
      <c r="G39" s="20" t="s">
        <v>687</v>
      </c>
      <c r="H39" s="20" t="s">
        <v>688</v>
      </c>
      <c r="I39" s="20" t="s">
        <v>689</v>
      </c>
      <c r="J39" s="21" t="s">
        <v>510</v>
      </c>
      <c r="K39" s="20" t="s">
        <v>690</v>
      </c>
      <c r="L39" s="21" t="s">
        <v>10</v>
      </c>
      <c r="M39" s="21" t="s">
        <v>512</v>
      </c>
      <c r="N39" s="20"/>
    </row>
    <row r="40" customFormat="false" ht="22.35" hidden="false" customHeight="false" outlineLevel="0" collapsed="false">
      <c r="A40" s="24" t="s">
        <v>691</v>
      </c>
      <c r="B40" s="21" t="s">
        <v>503</v>
      </c>
      <c r="C40" s="20" t="s">
        <v>692</v>
      </c>
      <c r="D40" s="21" t="s">
        <v>134</v>
      </c>
      <c r="E40" s="20" t="s">
        <v>693</v>
      </c>
      <c r="F40" s="20" t="s">
        <v>694</v>
      </c>
      <c r="G40" s="20" t="s">
        <v>695</v>
      </c>
      <c r="H40" s="20" t="s">
        <v>696</v>
      </c>
      <c r="I40" s="20" t="s">
        <v>697</v>
      </c>
      <c r="J40" s="21" t="s">
        <v>510</v>
      </c>
      <c r="K40" s="20" t="s">
        <v>678</v>
      </c>
      <c r="L40" s="21" t="s">
        <v>10</v>
      </c>
      <c r="M40" s="21" t="s">
        <v>512</v>
      </c>
      <c r="N40" s="20"/>
    </row>
    <row r="41" customFormat="false" ht="32.8" hidden="false" customHeight="false" outlineLevel="0" collapsed="false">
      <c r="A41" s="24" t="s">
        <v>698</v>
      </c>
      <c r="B41" s="21" t="s">
        <v>503</v>
      </c>
      <c r="C41" s="20" t="s">
        <v>144</v>
      </c>
      <c r="D41" s="21" t="s">
        <v>146</v>
      </c>
      <c r="E41" s="20" t="s">
        <v>699</v>
      </c>
      <c r="F41" s="20" t="s">
        <v>700</v>
      </c>
      <c r="G41" s="20" t="s">
        <v>341</v>
      </c>
      <c r="H41" s="20" t="s">
        <v>105</v>
      </c>
      <c r="I41" s="20" t="s">
        <v>701</v>
      </c>
      <c r="J41" s="21" t="s">
        <v>510</v>
      </c>
      <c r="K41" s="20" t="s">
        <v>702</v>
      </c>
      <c r="L41" s="21" t="s">
        <v>10</v>
      </c>
      <c r="M41" s="21" t="s">
        <v>512</v>
      </c>
      <c r="N41" s="20"/>
    </row>
    <row r="42" customFormat="false" ht="22.35" hidden="false" customHeight="false" outlineLevel="0" collapsed="false">
      <c r="A42" s="24" t="s">
        <v>703</v>
      </c>
      <c r="B42" s="21" t="s">
        <v>503</v>
      </c>
      <c r="C42" s="20" t="s">
        <v>704</v>
      </c>
      <c r="D42" s="21" t="s">
        <v>226</v>
      </c>
      <c r="E42" s="20" t="s">
        <v>705</v>
      </c>
      <c r="F42" s="20" t="s">
        <v>706</v>
      </c>
      <c r="G42" s="20" t="s">
        <v>707</v>
      </c>
      <c r="H42" s="20" t="s">
        <v>105</v>
      </c>
      <c r="I42" s="20" t="s">
        <v>708</v>
      </c>
      <c r="J42" s="21" t="s">
        <v>510</v>
      </c>
      <c r="K42" s="20" t="s">
        <v>709</v>
      </c>
      <c r="L42" s="21" t="s">
        <v>10</v>
      </c>
      <c r="M42" s="21" t="s">
        <v>512</v>
      </c>
      <c r="N42" s="20"/>
    </row>
    <row r="43" customFormat="false" ht="22.35" hidden="false" customHeight="false" outlineLevel="0" collapsed="false">
      <c r="A43" s="24" t="s">
        <v>710</v>
      </c>
      <c r="B43" s="21" t="s">
        <v>503</v>
      </c>
      <c r="C43" s="20" t="s">
        <v>711</v>
      </c>
      <c r="D43" s="21" t="s">
        <v>170</v>
      </c>
      <c r="E43" s="20" t="s">
        <v>712</v>
      </c>
      <c r="F43" s="20" t="s">
        <v>713</v>
      </c>
      <c r="G43" s="20" t="s">
        <v>714</v>
      </c>
      <c r="H43" s="20" t="s">
        <v>105</v>
      </c>
      <c r="I43" s="20" t="s">
        <v>715</v>
      </c>
      <c r="J43" s="21" t="s">
        <v>510</v>
      </c>
      <c r="K43" s="20" t="s">
        <v>716</v>
      </c>
      <c r="L43" s="21" t="s">
        <v>10</v>
      </c>
      <c r="M43" s="21" t="s">
        <v>512</v>
      </c>
      <c r="N43" s="20"/>
    </row>
    <row r="44" customFormat="false" ht="22.35" hidden="false" customHeight="false" outlineLevel="0" collapsed="false">
      <c r="A44" s="24" t="s">
        <v>717</v>
      </c>
      <c r="B44" s="21" t="s">
        <v>503</v>
      </c>
      <c r="C44" s="20" t="s">
        <v>167</v>
      </c>
      <c r="D44" s="21" t="s">
        <v>170</v>
      </c>
      <c r="E44" s="20" t="s">
        <v>718</v>
      </c>
      <c r="F44" s="20" t="s">
        <v>719</v>
      </c>
      <c r="G44" s="20" t="s">
        <v>720</v>
      </c>
      <c r="H44" s="20" t="s">
        <v>105</v>
      </c>
      <c r="I44" s="20" t="s">
        <v>721</v>
      </c>
      <c r="J44" s="21" t="s">
        <v>510</v>
      </c>
      <c r="K44" s="20" t="s">
        <v>722</v>
      </c>
      <c r="L44" s="21" t="s">
        <v>10</v>
      </c>
      <c r="M44" s="21" t="s">
        <v>512</v>
      </c>
      <c r="N44" s="20"/>
    </row>
    <row r="45" customFormat="false" ht="22.35" hidden="false" customHeight="false" outlineLevel="0" collapsed="false">
      <c r="A45" s="24" t="s">
        <v>723</v>
      </c>
      <c r="B45" s="21" t="s">
        <v>503</v>
      </c>
      <c r="C45" s="20" t="s">
        <v>182</v>
      </c>
      <c r="D45" s="21" t="s">
        <v>170</v>
      </c>
      <c r="E45" s="20" t="s">
        <v>724</v>
      </c>
      <c r="F45" s="20" t="s">
        <v>105</v>
      </c>
      <c r="G45" s="20" t="s">
        <v>725</v>
      </c>
      <c r="H45" s="20" t="s">
        <v>726</v>
      </c>
      <c r="I45" s="20" t="s">
        <v>727</v>
      </c>
      <c r="J45" s="21" t="s">
        <v>510</v>
      </c>
      <c r="K45" s="20" t="s">
        <v>728</v>
      </c>
      <c r="L45" s="21" t="s">
        <v>10</v>
      </c>
      <c r="M45" s="21" t="s">
        <v>512</v>
      </c>
      <c r="N45" s="20"/>
    </row>
    <row r="46" customFormat="false" ht="22.35" hidden="false" customHeight="false" outlineLevel="0" collapsed="false">
      <c r="A46" s="24" t="s">
        <v>729</v>
      </c>
      <c r="B46" s="21" t="s">
        <v>547</v>
      </c>
      <c r="C46" s="20" t="s">
        <v>182</v>
      </c>
      <c r="D46" s="21" t="s">
        <v>170</v>
      </c>
      <c r="E46" s="20" t="s">
        <v>730</v>
      </c>
      <c r="F46" s="20" t="s">
        <v>105</v>
      </c>
      <c r="G46" s="20" t="s">
        <v>731</v>
      </c>
      <c r="H46" s="20" t="s">
        <v>732</v>
      </c>
      <c r="I46" s="20" t="s">
        <v>667</v>
      </c>
      <c r="J46" s="21" t="s">
        <v>510</v>
      </c>
      <c r="K46" s="20" t="s">
        <v>553</v>
      </c>
      <c r="L46" s="21" t="s">
        <v>10</v>
      </c>
      <c r="M46" s="21" t="s">
        <v>512</v>
      </c>
      <c r="N46" s="20"/>
    </row>
    <row r="47" customFormat="false" ht="22.35" hidden="false" customHeight="false" outlineLevel="0" collapsed="false">
      <c r="A47" s="24" t="s">
        <v>733</v>
      </c>
      <c r="B47" s="21" t="s">
        <v>734</v>
      </c>
      <c r="C47" s="20" t="s">
        <v>105</v>
      </c>
      <c r="D47" s="21" t="s">
        <v>105</v>
      </c>
      <c r="E47" s="20" t="s">
        <v>735</v>
      </c>
      <c r="F47" s="20" t="s">
        <v>105</v>
      </c>
      <c r="G47" s="20" t="s">
        <v>736</v>
      </c>
      <c r="H47" s="20" t="s">
        <v>105</v>
      </c>
      <c r="I47" s="20" t="s">
        <v>683</v>
      </c>
      <c r="J47" s="21" t="s">
        <v>510</v>
      </c>
      <c r="K47" s="20" t="s">
        <v>683</v>
      </c>
      <c r="L47" s="21" t="s">
        <v>10</v>
      </c>
      <c r="M47" s="21" t="s">
        <v>512</v>
      </c>
      <c r="N47" s="20"/>
    </row>
    <row r="48" customFormat="false" ht="22.35" hidden="false" customHeight="false" outlineLevel="0" collapsed="false">
      <c r="A48" s="24" t="s">
        <v>737</v>
      </c>
      <c r="B48" s="21" t="s">
        <v>250</v>
      </c>
      <c r="C48" s="20" t="s">
        <v>249</v>
      </c>
      <c r="D48" s="21" t="s">
        <v>73</v>
      </c>
      <c r="E48" s="20" t="s">
        <v>738</v>
      </c>
      <c r="F48" s="20" t="s">
        <v>739</v>
      </c>
      <c r="G48" s="20" t="s">
        <v>740</v>
      </c>
      <c r="H48" s="20" t="s">
        <v>741</v>
      </c>
      <c r="I48" s="20" t="s">
        <v>742</v>
      </c>
      <c r="J48" s="21" t="s">
        <v>510</v>
      </c>
      <c r="K48" s="20" t="s">
        <v>743</v>
      </c>
      <c r="L48" s="21" t="s">
        <v>10</v>
      </c>
      <c r="M48" s="21" t="s">
        <v>512</v>
      </c>
      <c r="N48" s="20" t="s">
        <v>744</v>
      </c>
    </row>
    <row r="49" customFormat="false" ht="22.35" hidden="false" customHeight="false" outlineLevel="0" collapsed="false">
      <c r="A49" s="24" t="s">
        <v>745</v>
      </c>
      <c r="B49" s="21" t="s">
        <v>250</v>
      </c>
      <c r="C49" s="20" t="s">
        <v>746</v>
      </c>
      <c r="D49" s="21" t="s">
        <v>73</v>
      </c>
      <c r="E49" s="20" t="s">
        <v>747</v>
      </c>
      <c r="F49" s="20" t="s">
        <v>748</v>
      </c>
      <c r="G49" s="20" t="s">
        <v>749</v>
      </c>
      <c r="H49" s="20" t="s">
        <v>741</v>
      </c>
      <c r="I49" s="20" t="s">
        <v>750</v>
      </c>
      <c r="J49" s="21" t="s">
        <v>510</v>
      </c>
      <c r="K49" s="20" t="s">
        <v>751</v>
      </c>
      <c r="L49" s="21" t="s">
        <v>10</v>
      </c>
      <c r="M49" s="21" t="s">
        <v>512</v>
      </c>
      <c r="N49" s="20" t="s">
        <v>752</v>
      </c>
    </row>
    <row r="50" customFormat="false" ht="43.25" hidden="false" customHeight="false" outlineLevel="0" collapsed="false">
      <c r="A50" s="24" t="s">
        <v>753</v>
      </c>
      <c r="B50" s="21" t="s">
        <v>254</v>
      </c>
      <c r="C50" s="20" t="s">
        <v>754</v>
      </c>
      <c r="D50" s="21" t="s">
        <v>60</v>
      </c>
      <c r="E50" s="20" t="s">
        <v>755</v>
      </c>
      <c r="F50" s="20" t="s">
        <v>756</v>
      </c>
      <c r="G50" s="20" t="s">
        <v>757</v>
      </c>
      <c r="H50" s="20" t="s">
        <v>758</v>
      </c>
      <c r="I50" s="20" t="s">
        <v>528</v>
      </c>
      <c r="J50" s="21" t="s">
        <v>510</v>
      </c>
      <c r="K50" s="20" t="s">
        <v>683</v>
      </c>
      <c r="L50" s="21" t="s">
        <v>12</v>
      </c>
      <c r="M50" s="21" t="s">
        <v>512</v>
      </c>
      <c r="N50" s="20" t="s">
        <v>759</v>
      </c>
    </row>
    <row r="51" customFormat="false" ht="32.8" hidden="false" customHeight="false" outlineLevel="0" collapsed="false">
      <c r="A51" s="24" t="s">
        <v>760</v>
      </c>
      <c r="B51" s="21" t="s">
        <v>761</v>
      </c>
      <c r="C51" s="20" t="s">
        <v>64</v>
      </c>
      <c r="D51" s="21" t="s">
        <v>67</v>
      </c>
      <c r="E51" s="20" t="s">
        <v>762</v>
      </c>
      <c r="F51" s="20" t="s">
        <v>763</v>
      </c>
      <c r="G51" s="20" t="s">
        <v>764</v>
      </c>
      <c r="H51" s="20" t="s">
        <v>765</v>
      </c>
      <c r="I51" s="20" t="s">
        <v>766</v>
      </c>
      <c r="J51" s="21" t="s">
        <v>767</v>
      </c>
      <c r="K51" s="20"/>
      <c r="L51" s="21" t="s">
        <v>14</v>
      </c>
      <c r="M51" s="21"/>
      <c r="N51" s="20" t="s">
        <v>768</v>
      </c>
    </row>
    <row r="52" customFormat="false" ht="15" hidden="false" customHeight="false" outlineLevel="0" collapsed="false">
      <c r="A52" s="24" t="s">
        <v>769</v>
      </c>
      <c r="B52" s="21" t="s">
        <v>761</v>
      </c>
      <c r="C52" s="20" t="s">
        <v>64</v>
      </c>
      <c r="D52" s="21" t="s">
        <v>67</v>
      </c>
      <c r="E52" s="20" t="s">
        <v>770</v>
      </c>
      <c r="F52" s="20" t="s">
        <v>771</v>
      </c>
      <c r="G52" s="20" t="s">
        <v>772</v>
      </c>
      <c r="H52" s="20" t="s">
        <v>765</v>
      </c>
      <c r="I52" s="20" t="s">
        <v>773</v>
      </c>
      <c r="J52" s="21" t="s">
        <v>767</v>
      </c>
      <c r="K52" s="20"/>
      <c r="L52" s="21" t="s">
        <v>14</v>
      </c>
      <c r="M52" s="21"/>
      <c r="N52" s="20" t="s">
        <v>768</v>
      </c>
    </row>
    <row r="53" customFormat="false" ht="22.35" hidden="false" customHeight="false" outlineLevel="0" collapsed="false">
      <c r="A53" s="24" t="s">
        <v>774</v>
      </c>
      <c r="B53" s="21" t="s">
        <v>235</v>
      </c>
      <c r="C53" s="20" t="s">
        <v>234</v>
      </c>
      <c r="D53" s="21" t="s">
        <v>67</v>
      </c>
      <c r="E53" s="20" t="s">
        <v>775</v>
      </c>
      <c r="F53" s="20" t="s">
        <v>776</v>
      </c>
      <c r="G53" s="20" t="s">
        <v>777</v>
      </c>
      <c r="H53" s="20" t="s">
        <v>105</v>
      </c>
      <c r="I53" s="20" t="s">
        <v>778</v>
      </c>
      <c r="J53" s="21" t="s">
        <v>767</v>
      </c>
      <c r="K53" s="20"/>
      <c r="L53" s="21" t="s">
        <v>14</v>
      </c>
      <c r="M53" s="21"/>
      <c r="N53" s="20" t="s">
        <v>768</v>
      </c>
    </row>
    <row r="54" customFormat="false" ht="22.35" hidden="false" customHeight="false" outlineLevel="0" collapsed="false">
      <c r="A54" s="24" t="s">
        <v>779</v>
      </c>
      <c r="B54" s="21" t="s">
        <v>235</v>
      </c>
      <c r="C54" s="20" t="s">
        <v>780</v>
      </c>
      <c r="D54" s="21" t="s">
        <v>67</v>
      </c>
      <c r="E54" s="20" t="s">
        <v>781</v>
      </c>
      <c r="F54" s="20" t="s">
        <v>782</v>
      </c>
      <c r="G54" s="20" t="s">
        <v>783</v>
      </c>
      <c r="H54" s="20" t="s">
        <v>105</v>
      </c>
      <c r="I54" s="20" t="s">
        <v>784</v>
      </c>
      <c r="J54" s="21" t="s">
        <v>767</v>
      </c>
      <c r="K54" s="20"/>
      <c r="L54" s="21" t="s">
        <v>14</v>
      </c>
      <c r="M54" s="21"/>
      <c r="N54" s="20" t="s">
        <v>768</v>
      </c>
    </row>
    <row r="55" customFormat="false" ht="22.35" hidden="false" customHeight="false" outlineLevel="0" collapsed="false">
      <c r="A55" s="24" t="s">
        <v>785</v>
      </c>
      <c r="B55" s="21" t="s">
        <v>761</v>
      </c>
      <c r="C55" s="20" t="s">
        <v>786</v>
      </c>
      <c r="D55" s="21" t="s">
        <v>787</v>
      </c>
      <c r="E55" s="20" t="s">
        <v>788</v>
      </c>
      <c r="F55" s="20" t="s">
        <v>789</v>
      </c>
      <c r="G55" s="20" t="s">
        <v>790</v>
      </c>
      <c r="H55" s="20" t="s">
        <v>791</v>
      </c>
      <c r="I55" s="20" t="s">
        <v>792</v>
      </c>
      <c r="J55" s="21" t="s">
        <v>767</v>
      </c>
      <c r="K55" s="20"/>
      <c r="L55" s="21" t="s">
        <v>14</v>
      </c>
      <c r="M55" s="21"/>
      <c r="N55" s="20" t="s">
        <v>768</v>
      </c>
    </row>
    <row r="56" customFormat="false" ht="22.35" hidden="false" customHeight="false" outlineLevel="0" collapsed="false">
      <c r="A56" s="24" t="s">
        <v>793</v>
      </c>
      <c r="B56" s="21" t="s">
        <v>503</v>
      </c>
      <c r="C56" s="20" t="s">
        <v>58</v>
      </c>
      <c r="D56" s="21" t="s">
        <v>60</v>
      </c>
      <c r="E56" s="20" t="s">
        <v>794</v>
      </c>
      <c r="F56" s="20" t="s">
        <v>795</v>
      </c>
      <c r="G56" s="20" t="s">
        <v>796</v>
      </c>
      <c r="H56" s="20" t="s">
        <v>105</v>
      </c>
      <c r="I56" s="20" t="s">
        <v>797</v>
      </c>
      <c r="J56" s="21" t="s">
        <v>767</v>
      </c>
      <c r="K56" s="20"/>
      <c r="L56" s="21" t="s">
        <v>14</v>
      </c>
      <c r="M56" s="21"/>
      <c r="N56" s="20" t="s">
        <v>768</v>
      </c>
    </row>
    <row r="57" customFormat="false" ht="22.35" hidden="false" customHeight="false" outlineLevel="0" collapsed="false">
      <c r="A57" s="24" t="s">
        <v>798</v>
      </c>
      <c r="B57" s="21" t="s">
        <v>235</v>
      </c>
      <c r="C57" s="20" t="s">
        <v>245</v>
      </c>
      <c r="D57" s="21" t="s">
        <v>105</v>
      </c>
      <c r="E57" s="20" t="s">
        <v>799</v>
      </c>
      <c r="F57" s="20" t="s">
        <v>800</v>
      </c>
      <c r="G57" s="20" t="s">
        <v>801</v>
      </c>
      <c r="H57" s="20" t="s">
        <v>105</v>
      </c>
      <c r="I57" s="20" t="s">
        <v>802</v>
      </c>
      <c r="J57" s="21" t="s">
        <v>767</v>
      </c>
      <c r="K57" s="20"/>
      <c r="L57" s="21" t="s">
        <v>14</v>
      </c>
      <c r="M57" s="21"/>
      <c r="N57" s="20" t="s">
        <v>768</v>
      </c>
    </row>
    <row r="58" customFormat="false" ht="22.35" hidden="false" customHeight="false" outlineLevel="0" collapsed="false">
      <c r="A58" s="24" t="s">
        <v>803</v>
      </c>
      <c r="B58" s="21" t="s">
        <v>250</v>
      </c>
      <c r="C58" s="20" t="s">
        <v>249</v>
      </c>
      <c r="D58" s="21" t="s">
        <v>73</v>
      </c>
      <c r="E58" s="20" t="s">
        <v>804</v>
      </c>
      <c r="F58" s="20" t="s">
        <v>805</v>
      </c>
      <c r="G58" s="20" t="s">
        <v>806</v>
      </c>
      <c r="H58" s="20" t="s">
        <v>741</v>
      </c>
      <c r="I58" s="20" t="s">
        <v>807</v>
      </c>
      <c r="J58" s="21" t="s">
        <v>767</v>
      </c>
      <c r="K58" s="20"/>
      <c r="L58" s="21" t="s">
        <v>14</v>
      </c>
      <c r="M58" s="21"/>
      <c r="N58" s="20" t="s">
        <v>768</v>
      </c>
    </row>
    <row r="59" customFormat="false" ht="22.35" hidden="false" customHeight="false" outlineLevel="0" collapsed="false">
      <c r="A59" s="24" t="s">
        <v>808</v>
      </c>
      <c r="B59" s="21" t="s">
        <v>235</v>
      </c>
      <c r="C59" s="20" t="s">
        <v>809</v>
      </c>
      <c r="D59" s="21" t="s">
        <v>73</v>
      </c>
      <c r="E59" s="20" t="s">
        <v>810</v>
      </c>
      <c r="F59" s="20" t="s">
        <v>811</v>
      </c>
      <c r="G59" s="20" t="s">
        <v>812</v>
      </c>
      <c r="H59" s="20" t="s">
        <v>813</v>
      </c>
      <c r="I59" s="20" t="s">
        <v>814</v>
      </c>
      <c r="J59" s="21" t="s">
        <v>767</v>
      </c>
      <c r="K59" s="20"/>
      <c r="L59" s="21" t="s">
        <v>14</v>
      </c>
      <c r="M59" s="21"/>
      <c r="N59" s="20" t="s">
        <v>768</v>
      </c>
    </row>
    <row r="60" customFormat="false" ht="22.35" hidden="false" customHeight="false" outlineLevel="0" collapsed="false">
      <c r="A60" s="24" t="s">
        <v>815</v>
      </c>
      <c r="B60" s="21" t="s">
        <v>761</v>
      </c>
      <c r="C60" s="20" t="s">
        <v>816</v>
      </c>
      <c r="D60" s="21" t="s">
        <v>817</v>
      </c>
      <c r="E60" s="20" t="s">
        <v>818</v>
      </c>
      <c r="F60" s="20" t="s">
        <v>819</v>
      </c>
      <c r="G60" s="20" t="s">
        <v>820</v>
      </c>
      <c r="H60" s="20" t="s">
        <v>821</v>
      </c>
      <c r="I60" s="20" t="s">
        <v>822</v>
      </c>
      <c r="J60" s="21" t="s">
        <v>767</v>
      </c>
      <c r="K60" s="20"/>
      <c r="L60" s="21" t="s">
        <v>14</v>
      </c>
      <c r="M60" s="21"/>
      <c r="N60" s="20" t="s">
        <v>768</v>
      </c>
    </row>
    <row r="61" customFormat="false" ht="32.8" hidden="false" customHeight="false" outlineLevel="0" collapsed="false">
      <c r="A61" s="24" t="s">
        <v>823</v>
      </c>
      <c r="B61" s="21" t="s">
        <v>503</v>
      </c>
      <c r="C61" s="20" t="s">
        <v>824</v>
      </c>
      <c r="D61" s="21" t="s">
        <v>103</v>
      </c>
      <c r="E61" s="20" t="s">
        <v>825</v>
      </c>
      <c r="F61" s="20" t="s">
        <v>826</v>
      </c>
      <c r="G61" s="20" t="s">
        <v>827</v>
      </c>
      <c r="H61" s="20" t="s">
        <v>828</v>
      </c>
      <c r="I61" s="20" t="s">
        <v>829</v>
      </c>
      <c r="J61" s="21" t="s">
        <v>767</v>
      </c>
      <c r="K61" s="20"/>
      <c r="L61" s="21" t="s">
        <v>16</v>
      </c>
      <c r="M61" s="21"/>
      <c r="N61" s="20" t="s">
        <v>830</v>
      </c>
    </row>
    <row r="62" customFormat="false" ht="32.8" hidden="false" customHeight="false" outlineLevel="0" collapsed="false">
      <c r="A62" s="24" t="s">
        <v>831</v>
      </c>
      <c r="B62" s="21" t="s">
        <v>254</v>
      </c>
      <c r="C62" s="20" t="s">
        <v>280</v>
      </c>
      <c r="D62" s="21" t="s">
        <v>103</v>
      </c>
      <c r="E62" s="20" t="s">
        <v>832</v>
      </c>
      <c r="F62" s="20" t="s">
        <v>826</v>
      </c>
      <c r="G62" s="20" t="s">
        <v>833</v>
      </c>
      <c r="H62" s="20" t="s">
        <v>834</v>
      </c>
      <c r="I62" s="20" t="s">
        <v>835</v>
      </c>
      <c r="J62" s="21" t="s">
        <v>767</v>
      </c>
      <c r="K62" s="20"/>
      <c r="L62" s="21" t="s">
        <v>16</v>
      </c>
      <c r="M62" s="21"/>
      <c r="N62" s="20" t="s">
        <v>830</v>
      </c>
    </row>
    <row r="63" customFormat="false" ht="32.8" hidden="false" customHeight="false" outlineLevel="0" collapsed="false">
      <c r="A63" s="24" t="s">
        <v>836</v>
      </c>
      <c r="B63" s="21" t="s">
        <v>503</v>
      </c>
      <c r="C63" s="20" t="s">
        <v>196</v>
      </c>
      <c r="D63" s="21" t="s">
        <v>146</v>
      </c>
      <c r="E63" s="20" t="s">
        <v>837</v>
      </c>
      <c r="F63" s="20" t="s">
        <v>826</v>
      </c>
      <c r="G63" s="20" t="s">
        <v>838</v>
      </c>
      <c r="H63" s="20" t="s">
        <v>839</v>
      </c>
      <c r="I63" s="20" t="s">
        <v>840</v>
      </c>
      <c r="J63" s="21" t="s">
        <v>767</v>
      </c>
      <c r="K63" s="20"/>
      <c r="L63" s="21" t="s">
        <v>16</v>
      </c>
      <c r="M63" s="21"/>
      <c r="N63" s="20" t="s">
        <v>830</v>
      </c>
    </row>
    <row r="64" customFormat="false" ht="32.8" hidden="false" customHeight="false" outlineLevel="0" collapsed="false">
      <c r="A64" s="24" t="s">
        <v>841</v>
      </c>
      <c r="B64" s="21" t="s">
        <v>842</v>
      </c>
      <c r="C64" s="20" t="s">
        <v>843</v>
      </c>
      <c r="D64" s="21" t="s">
        <v>204</v>
      </c>
      <c r="E64" s="20" t="s">
        <v>844</v>
      </c>
      <c r="F64" s="20" t="s">
        <v>845</v>
      </c>
      <c r="G64" s="20" t="s">
        <v>846</v>
      </c>
      <c r="H64" s="20" t="s">
        <v>791</v>
      </c>
      <c r="I64" s="20" t="s">
        <v>847</v>
      </c>
      <c r="J64" s="21" t="s">
        <v>767</v>
      </c>
      <c r="K64" s="20"/>
      <c r="L64" s="21" t="s">
        <v>16</v>
      </c>
      <c r="M64" s="21"/>
      <c r="N64" s="20" t="s">
        <v>830</v>
      </c>
    </row>
    <row r="65" customFormat="false" ht="32.8" hidden="false" customHeight="false" outlineLevel="0" collapsed="false">
      <c r="A65" s="24" t="s">
        <v>848</v>
      </c>
      <c r="B65" s="21" t="s">
        <v>842</v>
      </c>
      <c r="C65" s="20" t="s">
        <v>213</v>
      </c>
      <c r="D65" s="21" t="s">
        <v>204</v>
      </c>
      <c r="E65" s="20" t="s">
        <v>849</v>
      </c>
      <c r="F65" s="20" t="s">
        <v>850</v>
      </c>
      <c r="G65" s="20" t="s">
        <v>851</v>
      </c>
      <c r="H65" s="20" t="s">
        <v>105</v>
      </c>
      <c r="I65" s="20" t="s">
        <v>852</v>
      </c>
      <c r="J65" s="21" t="s">
        <v>767</v>
      </c>
      <c r="K65" s="20"/>
      <c r="L65" s="21" t="s">
        <v>16</v>
      </c>
      <c r="M65" s="21"/>
      <c r="N65" s="20" t="s">
        <v>830</v>
      </c>
    </row>
    <row r="66" customFormat="false" ht="32.8" hidden="false" customHeight="false" outlineLevel="0" collapsed="false">
      <c r="A66" s="24" t="s">
        <v>853</v>
      </c>
      <c r="B66" s="21" t="s">
        <v>842</v>
      </c>
      <c r="C66" s="20" t="s">
        <v>854</v>
      </c>
      <c r="D66" s="21" t="s">
        <v>221</v>
      </c>
      <c r="E66" s="20" t="s">
        <v>855</v>
      </c>
      <c r="F66" s="20" t="s">
        <v>856</v>
      </c>
      <c r="G66" s="20" t="s">
        <v>857</v>
      </c>
      <c r="H66" s="20" t="s">
        <v>105</v>
      </c>
      <c r="I66" s="20" t="s">
        <v>858</v>
      </c>
      <c r="J66" s="21" t="s">
        <v>767</v>
      </c>
      <c r="K66" s="20"/>
      <c r="L66" s="21" t="s">
        <v>16</v>
      </c>
      <c r="M66" s="21"/>
      <c r="N66" s="20" t="s">
        <v>830</v>
      </c>
    </row>
    <row r="67" customFormat="false" ht="32.8" hidden="false" customHeight="false" outlineLevel="0" collapsed="false">
      <c r="A67" s="24" t="s">
        <v>859</v>
      </c>
      <c r="B67" s="21" t="s">
        <v>254</v>
      </c>
      <c r="C67" s="20" t="s">
        <v>261</v>
      </c>
      <c r="D67" s="21" t="s">
        <v>105</v>
      </c>
      <c r="E67" s="20" t="s">
        <v>860</v>
      </c>
      <c r="F67" s="20" t="s">
        <v>861</v>
      </c>
      <c r="G67" s="20" t="s">
        <v>862</v>
      </c>
      <c r="H67" s="20" t="s">
        <v>863</v>
      </c>
      <c r="I67" s="20" t="s">
        <v>864</v>
      </c>
      <c r="J67" s="21" t="s">
        <v>767</v>
      </c>
      <c r="K67" s="20"/>
      <c r="L67" s="21" t="s">
        <v>16</v>
      </c>
      <c r="M67" s="21"/>
      <c r="N67" s="20" t="s">
        <v>830</v>
      </c>
    </row>
    <row r="68" customFormat="false" ht="32.8" hidden="false" customHeight="false" outlineLevel="0" collapsed="false">
      <c r="A68" s="24" t="s">
        <v>865</v>
      </c>
      <c r="B68" s="21" t="s">
        <v>241</v>
      </c>
      <c r="C68" s="20" t="s">
        <v>240</v>
      </c>
      <c r="D68" s="21" t="s">
        <v>105</v>
      </c>
      <c r="E68" s="20" t="s">
        <v>866</v>
      </c>
      <c r="F68" s="20" t="s">
        <v>867</v>
      </c>
      <c r="G68" s="20" t="s">
        <v>868</v>
      </c>
      <c r="H68" s="20" t="s">
        <v>105</v>
      </c>
      <c r="I68" s="20" t="s">
        <v>869</v>
      </c>
      <c r="J68" s="21" t="s">
        <v>767</v>
      </c>
      <c r="K68" s="20"/>
      <c r="L68" s="21" t="s">
        <v>16</v>
      </c>
      <c r="M68" s="21"/>
      <c r="N68" s="20" t="s">
        <v>830</v>
      </c>
    </row>
  </sheetData>
  <autoFilter ref="A4:N68"/>
  <mergeCells count="1">
    <mergeCell ref="A2:N2"/>
  </mergeCells>
  <conditionalFormatting sqref="L5:L68">
    <cfRule type="cellIs" priority="2" operator="equal" aboveAverage="0" equalAverage="0" bottom="0" percent="0" rank="0" text="" dxfId="8">
      <formula>"Aprobado"</formula>
    </cfRule>
    <cfRule type="cellIs" priority="3" operator="equal" aboveAverage="0" equalAverage="0" bottom="0" percent="0" rank="0" text="" dxfId="10">
      <formula>"Observación"</formula>
    </cfRule>
    <cfRule type="cellIs" priority="4" operator="equal" aboveAverage="0" equalAverage="0" bottom="0" percent="0" rank="0" text="" dxfId="13">
      <formula>"Por ejecutar"</formula>
    </cfRule>
    <cfRule type="cellIs" priority="5" operator="equal" aboveAverage="0" equalAverage="0" bottom="0" percent="0" rank="0" text="" dxfId="12">
      <formula>"Bloqueado (funcionalidad pendiente)"</formula>
    </cfRule>
  </conditionalFormatting>
  <dataValidations count="1">
    <dataValidation allowBlank="false" errorStyle="stop" operator="between" showDropDown="false" showErrorMessage="false" showInputMessage="false" sqref="L5:L68" type="list">
      <formula1>"Aprobado,Observación,Por ejecutar,Bloqueado (funcionalidad pendiente)"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0"/>
    <col collapsed="false" customWidth="true" hidden="false" outlineLevel="0" max="7" min="7" style="0" width="90"/>
  </cols>
  <sheetData>
    <row r="1" customFormat="false" ht="17.35" hidden="false" customHeight="false" outlineLevel="0" collapsed="false">
      <c r="A1" s="1" t="s">
        <v>870</v>
      </c>
    </row>
    <row r="2" customFormat="false" ht="39.75" hidden="false" customHeight="true" outlineLevel="0" collapsed="false">
      <c r="A2" s="18" t="s">
        <v>871</v>
      </c>
      <c r="B2" s="18"/>
      <c r="C2" s="18"/>
      <c r="D2" s="18"/>
      <c r="E2" s="18"/>
      <c r="F2" s="18"/>
      <c r="G2" s="18"/>
    </row>
    <row r="4" customFormat="false" ht="15" hidden="false" customHeight="false" outlineLevel="0" collapsed="false">
      <c r="A4" s="3" t="s">
        <v>351</v>
      </c>
      <c r="B4" s="3" t="s">
        <v>872</v>
      </c>
      <c r="C4" s="3" t="s">
        <v>873</v>
      </c>
      <c r="D4" s="3" t="s">
        <v>874</v>
      </c>
      <c r="E4" s="3" t="s">
        <v>875</v>
      </c>
      <c r="F4" s="3" t="s">
        <v>876</v>
      </c>
      <c r="G4" s="3" t="s">
        <v>877</v>
      </c>
    </row>
    <row r="5" customFormat="false" ht="39.75" hidden="false" customHeight="true" outlineLevel="0" collapsed="false">
      <c r="A5" s="20" t="s">
        <v>878</v>
      </c>
      <c r="B5" s="25" t="n">
        <v>25</v>
      </c>
      <c r="C5" s="25" t="n">
        <v>5</v>
      </c>
      <c r="D5" s="25" t="n">
        <v>4</v>
      </c>
      <c r="E5" s="25" t="n">
        <v>5</v>
      </c>
      <c r="F5" s="25" t="n">
        <v>1</v>
      </c>
      <c r="G5" s="20" t="s">
        <v>879</v>
      </c>
    </row>
    <row r="6" customFormat="false" ht="39.75" hidden="false" customHeight="true" outlineLevel="0" collapsed="false">
      <c r="A6" s="20" t="s">
        <v>880</v>
      </c>
      <c r="B6" s="25" t="n">
        <v>20</v>
      </c>
      <c r="C6" s="25" t="n">
        <v>5</v>
      </c>
      <c r="D6" s="25" t="n">
        <v>3</v>
      </c>
      <c r="E6" s="25" t="n">
        <v>4</v>
      </c>
      <c r="F6" s="25" t="n">
        <v>2</v>
      </c>
      <c r="G6" s="20" t="s">
        <v>881</v>
      </c>
    </row>
    <row r="7" customFormat="false" ht="39.75" hidden="false" customHeight="true" outlineLevel="0" collapsed="false">
      <c r="A7" s="20" t="s">
        <v>882</v>
      </c>
      <c r="B7" s="25" t="n">
        <v>15</v>
      </c>
      <c r="C7" s="25" t="n">
        <v>4</v>
      </c>
      <c r="D7" s="25" t="n">
        <v>5</v>
      </c>
      <c r="E7" s="25" t="n">
        <v>3</v>
      </c>
      <c r="F7" s="25" t="n">
        <v>3</v>
      </c>
      <c r="G7" s="20" t="s">
        <v>883</v>
      </c>
    </row>
    <row r="8" customFormat="false" ht="39.75" hidden="false" customHeight="true" outlineLevel="0" collapsed="false">
      <c r="A8" s="20" t="s">
        <v>884</v>
      </c>
      <c r="B8" s="25" t="n">
        <v>15</v>
      </c>
      <c r="C8" s="25" t="n">
        <v>4</v>
      </c>
      <c r="D8" s="25" t="n">
        <v>3</v>
      </c>
      <c r="E8" s="25" t="n">
        <v>2</v>
      </c>
      <c r="F8" s="25" t="n">
        <v>5</v>
      </c>
      <c r="G8" s="20" t="s">
        <v>885</v>
      </c>
    </row>
    <row r="9" customFormat="false" ht="39.75" hidden="false" customHeight="true" outlineLevel="0" collapsed="false">
      <c r="A9" s="20" t="s">
        <v>886</v>
      </c>
      <c r="B9" s="25" t="n">
        <v>10</v>
      </c>
      <c r="C9" s="25" t="n">
        <v>5</v>
      </c>
      <c r="D9" s="25" t="n">
        <v>3</v>
      </c>
      <c r="E9" s="25" t="n">
        <v>4</v>
      </c>
      <c r="F9" s="25" t="n">
        <v>1</v>
      </c>
      <c r="G9" s="20" t="s">
        <v>887</v>
      </c>
    </row>
    <row r="10" customFormat="false" ht="39.75" hidden="false" customHeight="true" outlineLevel="0" collapsed="false">
      <c r="A10" s="20" t="s">
        <v>888</v>
      </c>
      <c r="B10" s="25" t="n">
        <v>10</v>
      </c>
      <c r="C10" s="25" t="n">
        <v>5</v>
      </c>
      <c r="D10" s="25" t="n">
        <v>3</v>
      </c>
      <c r="E10" s="25" t="n">
        <v>5</v>
      </c>
      <c r="F10" s="25" t="n">
        <v>2</v>
      </c>
      <c r="G10" s="20" t="s">
        <v>889</v>
      </c>
    </row>
    <row r="11" customFormat="false" ht="39.75" hidden="false" customHeight="true" outlineLevel="0" collapsed="false">
      <c r="A11" s="20" t="s">
        <v>890</v>
      </c>
      <c r="B11" s="25" t="n">
        <v>5</v>
      </c>
      <c r="C11" s="25" t="n">
        <v>4</v>
      </c>
      <c r="D11" s="25" t="n">
        <v>5</v>
      </c>
      <c r="E11" s="25" t="n">
        <v>2</v>
      </c>
      <c r="F11" s="25" t="n">
        <v>5</v>
      </c>
      <c r="G11" s="20" t="s">
        <v>891</v>
      </c>
    </row>
    <row r="12" customFormat="false" ht="15" hidden="false" customHeight="false" outlineLevel="0" collapsed="false">
      <c r="A12" s="26" t="s">
        <v>892</v>
      </c>
      <c r="B12" s="27" t="n">
        <f aca="false">SUM(B5:B11)</f>
        <v>100</v>
      </c>
    </row>
    <row r="13" customFormat="false" ht="15" hidden="false" customHeight="false" outlineLevel="0" collapsed="false">
      <c r="A13" s="26" t="s">
        <v>893</v>
      </c>
      <c r="C13" s="28" t="n">
        <f aca="false">SUMPRODUCT($B$5:$B$11,C5:C11)/SUM($B$5:$B$11)*20</f>
        <v>93</v>
      </c>
      <c r="D13" s="28" t="n">
        <f aca="false">SUMPRODUCT($B$5:$B$11,D5:D11)/SUM($B$5:$B$11)*20</f>
        <v>73</v>
      </c>
      <c r="E13" s="28" t="n">
        <f aca="false">SUMPRODUCT($B$5:$B$11,E5:E11)/SUM($B$5:$B$11)*20</f>
        <v>76</v>
      </c>
      <c r="F13" s="28" t="n">
        <f aca="false">SUMPRODUCT($B$5:$B$11,F5:F11)/SUM($B$5:$B$11)*20</f>
        <v>48</v>
      </c>
    </row>
    <row r="14" customFormat="false" ht="15" hidden="false" customHeight="false" outlineLevel="0" collapsed="false">
      <c r="A14" s="26" t="s">
        <v>894</v>
      </c>
      <c r="C14" s="29" t="n">
        <f aca="false">RANK(C13,$C$13:$F$13)</f>
        <v>1</v>
      </c>
      <c r="D14" s="29" t="n">
        <f aca="false">RANK(D13,$C$13:$F$13)</f>
        <v>3</v>
      </c>
      <c r="E14" s="29" t="n">
        <f aca="false">RANK(E13,$C$13:$F$13)</f>
        <v>2</v>
      </c>
      <c r="F14" s="29" t="n">
        <f aca="false">RANK(F13,$C$13:$F$13)</f>
        <v>4</v>
      </c>
    </row>
    <row r="15" customFormat="false" ht="15" hidden="false" customHeight="false" outlineLevel="0" collapsed="false">
      <c r="A15" s="26" t="s">
        <v>895</v>
      </c>
      <c r="C15" s="30" t="str">
        <f aca="false">INDEX($C$4:$F$4,MATCH(MAX($C$13:$F$13),$C$13:$F$13,0))</f>
        <v>Scrum</v>
      </c>
      <c r="D15" s="30"/>
    </row>
    <row r="17" customFormat="false" ht="15" hidden="false" customHeight="false" outlineLevel="0" collapsed="false">
      <c r="A17" s="14" t="s">
        <v>896</v>
      </c>
    </row>
    <row r="18" customFormat="false" ht="15" hidden="false" customHeight="false" outlineLevel="0" collapsed="false">
      <c r="A18" s="3" t="s">
        <v>897</v>
      </c>
      <c r="B18" s="3"/>
      <c r="C18" s="3" t="s">
        <v>873</v>
      </c>
      <c r="D18" s="3" t="s">
        <v>874</v>
      </c>
      <c r="E18" s="3" t="s">
        <v>875</v>
      </c>
      <c r="F18" s="3" t="s">
        <v>876</v>
      </c>
      <c r="G18" s="3" t="s">
        <v>898</v>
      </c>
    </row>
    <row r="19" customFormat="false" ht="22.35" hidden="false" customHeight="false" outlineLevel="0" collapsed="false">
      <c r="A19" s="20" t="s">
        <v>899</v>
      </c>
      <c r="B19" s="20"/>
      <c r="C19" s="31" t="n">
        <f aca="false">(SUMPRODUCT($B$5:$B$11,C5:C11)-$B$8*C8)/(SUM($B$5:$B$11)-$B$8)*20</f>
        <v>95.2941176470588</v>
      </c>
      <c r="D19" s="31" t="n">
        <f aca="false">(SUMPRODUCT($B$5:$B$11,D5:D11)-$B$8*D8)/(SUM($B$5:$B$11)-$B$8)*20</f>
        <v>75.2941176470588</v>
      </c>
      <c r="E19" s="31" t="n">
        <f aca="false">(SUMPRODUCT($B$5:$B$11,E5:E11)-$B$8*E8)/(SUM($B$5:$B$11)-$B$8)*20</f>
        <v>82.3529411764706</v>
      </c>
      <c r="F19" s="31" t="n">
        <f aca="false">(SUMPRODUCT($B$5:$B$11,F5:F11)-$B$8*F8)/(SUM($B$5:$B$11)-$B$8)*20</f>
        <v>38.8235294117647</v>
      </c>
      <c r="G19" s="20" t="str">
        <f aca="false">"Mayor puntaje: "&amp;INDEX($C$18:$F$18,MATCH(MAX(C19:F19),C19:F19,0))</f>
        <v>Mayor puntaje: Scrum</v>
      </c>
    </row>
    <row r="20" customFormat="false" ht="15" hidden="false" customHeight="false" outlineLevel="0" collapsed="false">
      <c r="A20" s="20" t="s">
        <v>900</v>
      </c>
      <c r="B20" s="20"/>
      <c r="C20" s="31" t="n">
        <f aca="false">AVERAGE(C5:C11)*20</f>
        <v>91.4285714285714</v>
      </c>
      <c r="D20" s="31" t="n">
        <f aca="false">AVERAGE(D5:D11)*20</f>
        <v>74.2857142857143</v>
      </c>
      <c r="E20" s="31" t="n">
        <f aca="false">AVERAGE(E5:E11)*20</f>
        <v>71.4285714285714</v>
      </c>
      <c r="F20" s="31" t="n">
        <f aca="false">AVERAGE(F5:F11)*20</f>
        <v>54.2857142857143</v>
      </c>
      <c r="G20" s="20" t="str">
        <f aca="false">"Mayor puntaje: "&amp;INDEX($C$18:$F$18,MATCH(MAX(C20:F20),C20:F20,0))</f>
        <v>Mayor puntaje: Scrum</v>
      </c>
    </row>
    <row r="21" customFormat="false" ht="15" hidden="false" customHeight="false" outlineLevel="0" collapsed="false">
      <c r="A21" s="20" t="s">
        <v>901</v>
      </c>
      <c r="B21" s="20"/>
      <c r="C21" s="31" t="n">
        <f aca="false">(SUMPRODUCT($B$5:$B$11,C5:C11)-$B$7*C7)/(SUM($B$5:$B$11)-$B$7)*20</f>
        <v>95.2941176470588</v>
      </c>
      <c r="D21" s="31" t="n">
        <f aca="false">(SUMPRODUCT($B$5:$B$11,D5:D11)-$B$7*D7)/(SUM($B$5:$B$11)-$B$7)*20</f>
        <v>68.2352941176471</v>
      </c>
      <c r="E21" s="31" t="n">
        <f aca="false">(SUMPRODUCT($B$5:$B$11,E5:E11)-$B$7*E7)/(SUM($B$5:$B$11)-$B$7)*20</f>
        <v>78.8235294117647</v>
      </c>
      <c r="F21" s="31" t="n">
        <f aca="false">(SUMPRODUCT($B$5:$B$11,F5:F11)-$B$7*F7)/(SUM($B$5:$B$11)-$B$7)*20</f>
        <v>45.8823529411765</v>
      </c>
      <c r="G21" s="20" t="str">
        <f aca="false">"Mayor puntaje: "&amp;INDEX($C$18:$F$18,MATCH(MAX(C21:F21),C21:F21,0))</f>
        <v>Mayor puntaje: Scrum</v>
      </c>
    </row>
  </sheetData>
  <mergeCells count="2">
    <mergeCell ref="A2:G2"/>
    <mergeCell ref="C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0"/>
    <col collapsed="false" customWidth="true" hidden="false" outlineLevel="0" max="3" min="3" style="0" width="18"/>
    <col collapsed="false" customWidth="true" hidden="false" outlineLevel="0" max="5" min="4" style="0" width="20"/>
    <col collapsed="false" customWidth="true" hidden="false" outlineLevel="0" max="6" min="6" style="0" width="4"/>
  </cols>
  <sheetData>
    <row r="1" customFormat="false" ht="17.35" hidden="false" customHeight="false" outlineLevel="0" collapsed="false">
      <c r="A1" s="1" t="s">
        <v>902</v>
      </c>
    </row>
    <row r="2" customFormat="false" ht="39.75" hidden="false" customHeight="true" outlineLevel="0" collapsed="false">
      <c r="A2" s="18" t="s">
        <v>903</v>
      </c>
      <c r="B2" s="18"/>
      <c r="C2" s="18"/>
      <c r="D2" s="18"/>
      <c r="E2" s="18"/>
      <c r="F2" s="18"/>
    </row>
    <row r="4" customFormat="false" ht="23.85" hidden="false" customHeight="false" outlineLevel="0" collapsed="false">
      <c r="A4" s="3" t="s">
        <v>904</v>
      </c>
      <c r="B4" s="3" t="s">
        <v>872</v>
      </c>
      <c r="C4" s="3" t="s">
        <v>905</v>
      </c>
      <c r="D4" s="3" t="s">
        <v>906</v>
      </c>
      <c r="E4" s="3" t="s">
        <v>907</v>
      </c>
      <c r="F4" s="3"/>
    </row>
    <row r="5" customFormat="false" ht="15" hidden="false" customHeight="false" outlineLevel="0" collapsed="false">
      <c r="A5" s="20" t="s">
        <v>908</v>
      </c>
      <c r="B5" s="25" t="n">
        <v>25</v>
      </c>
      <c r="C5" s="25" t="n">
        <v>5</v>
      </c>
      <c r="D5" s="25" t="n">
        <v>2</v>
      </c>
      <c r="E5" s="25" t="n">
        <v>2</v>
      </c>
    </row>
    <row r="6" customFormat="false" ht="15" hidden="false" customHeight="false" outlineLevel="0" collapsed="false">
      <c r="A6" s="20" t="s">
        <v>909</v>
      </c>
      <c r="B6" s="25" t="n">
        <v>20</v>
      </c>
      <c r="C6" s="25" t="n">
        <v>5</v>
      </c>
      <c r="D6" s="25" t="n">
        <v>4</v>
      </c>
      <c r="E6" s="25" t="n">
        <v>3</v>
      </c>
    </row>
    <row r="7" customFormat="false" ht="15" hidden="false" customHeight="false" outlineLevel="0" collapsed="false">
      <c r="A7" s="20" t="s">
        <v>910</v>
      </c>
      <c r="B7" s="25" t="n">
        <v>15</v>
      </c>
      <c r="C7" s="25" t="n">
        <v>4</v>
      </c>
      <c r="D7" s="25" t="n">
        <v>4</v>
      </c>
      <c r="E7" s="25" t="n">
        <v>5</v>
      </c>
    </row>
    <row r="8" customFormat="false" ht="15" hidden="false" customHeight="false" outlineLevel="0" collapsed="false">
      <c r="A8" s="20" t="s">
        <v>911</v>
      </c>
      <c r="B8" s="25" t="n">
        <v>15</v>
      </c>
      <c r="C8" s="25" t="n">
        <v>5</v>
      </c>
      <c r="D8" s="25" t="n">
        <v>4</v>
      </c>
      <c r="E8" s="25" t="n">
        <v>4</v>
      </c>
    </row>
    <row r="9" customFormat="false" ht="15" hidden="false" customHeight="false" outlineLevel="0" collapsed="false">
      <c r="A9" s="20" t="s">
        <v>912</v>
      </c>
      <c r="B9" s="25" t="n">
        <v>10</v>
      </c>
      <c r="C9" s="25" t="n">
        <v>4</v>
      </c>
      <c r="D9" s="25" t="n">
        <v>3</v>
      </c>
      <c r="E9" s="25" t="n">
        <v>3</v>
      </c>
    </row>
    <row r="10" customFormat="false" ht="15" hidden="false" customHeight="false" outlineLevel="0" collapsed="false">
      <c r="A10" s="20" t="s">
        <v>913</v>
      </c>
      <c r="B10" s="25" t="n">
        <v>10</v>
      </c>
      <c r="C10" s="25" t="n">
        <v>4</v>
      </c>
      <c r="D10" s="25" t="n">
        <v>4</v>
      </c>
      <c r="E10" s="25" t="n">
        <v>4</v>
      </c>
    </row>
    <row r="11" customFormat="false" ht="15" hidden="false" customHeight="false" outlineLevel="0" collapsed="false">
      <c r="A11" s="20" t="s">
        <v>914</v>
      </c>
      <c r="B11" s="25" t="n">
        <v>5</v>
      </c>
      <c r="C11" s="25" t="n">
        <v>4</v>
      </c>
      <c r="D11" s="25" t="n">
        <v>4</v>
      </c>
      <c r="E11" s="25" t="n">
        <v>2</v>
      </c>
    </row>
    <row r="12" customFormat="false" ht="15" hidden="false" customHeight="false" outlineLevel="0" collapsed="false">
      <c r="A12" s="26" t="s">
        <v>892</v>
      </c>
      <c r="B12" s="27" t="n">
        <f aca="false">SUM(B5:B11)</f>
        <v>100</v>
      </c>
    </row>
    <row r="13" customFormat="false" ht="15" hidden="false" customHeight="false" outlineLevel="0" collapsed="false">
      <c r="A13" s="26" t="s">
        <v>893</v>
      </c>
      <c r="C13" s="28" t="n">
        <f aca="false">SUMPRODUCT($B$5:$B$11,C5:C11)/SUM($B$5:$B$11)*20</f>
        <v>92</v>
      </c>
      <c r="D13" s="28" t="n">
        <f aca="false">SUMPRODUCT($B$5:$B$11,D5:D11)/SUM($B$5:$B$11)*20</f>
        <v>68</v>
      </c>
      <c r="E13" s="28" t="n">
        <f aca="false">SUMPRODUCT($B$5:$B$11,E5:E11)/SUM($B$5:$B$11)*20</f>
        <v>65</v>
      </c>
    </row>
    <row r="14" customFormat="false" ht="15" hidden="false" customHeight="false" outlineLevel="0" collapsed="false">
      <c r="A14" s="26" t="s">
        <v>915</v>
      </c>
      <c r="C14" s="28" t="n">
        <f aca="false">(SUMPRODUCT($B$5:$B$11,C5:C11)-$B$5*C5)/(SUM($B$5:$B$11)-$B$5)*20</f>
        <v>89.3333333333333</v>
      </c>
      <c r="D14" s="28" t="n">
        <f aca="false">(SUMPRODUCT($B$5:$B$11,D5:D11)-$B$5*D5)/(SUM($B$5:$B$11)-$B$5)*20</f>
        <v>77.3333333333333</v>
      </c>
      <c r="E14" s="28" t="n">
        <f aca="false">(SUMPRODUCT($B$5:$B$11,E5:E11)-$B$5*E5)/(SUM($B$5:$B$11)-$B$5)*20</f>
        <v>73.3333333333333</v>
      </c>
    </row>
    <row r="15" customFormat="false" ht="15" hidden="false" customHeight="false" outlineLevel="0" collapsed="false">
      <c r="A15" s="26" t="s">
        <v>916</v>
      </c>
      <c r="C15" s="30" t="str">
        <f aca="false">INDEX($C$4:$E$4,MATCH(MAX(C14:E14),C14:E14,0))</f>
        <v>Node.js + Express</v>
      </c>
      <c r="D15" s="30"/>
    </row>
    <row r="18" customFormat="false" ht="15" hidden="false" customHeight="false" outlineLevel="0" collapsed="false">
      <c r="A18" s="3" t="s">
        <v>917</v>
      </c>
      <c r="B18" s="3" t="s">
        <v>872</v>
      </c>
      <c r="C18" s="3" t="s">
        <v>918</v>
      </c>
      <c r="D18" s="3" t="s">
        <v>919</v>
      </c>
      <c r="E18" s="3" t="s">
        <v>920</v>
      </c>
      <c r="F18" s="3"/>
    </row>
    <row r="19" customFormat="false" ht="15" hidden="false" customHeight="false" outlineLevel="0" collapsed="false">
      <c r="A19" s="20" t="s">
        <v>921</v>
      </c>
      <c r="B19" s="25" t="n">
        <v>30</v>
      </c>
      <c r="C19" s="25" t="n">
        <v>5</v>
      </c>
      <c r="D19" s="25" t="n">
        <v>4</v>
      </c>
      <c r="E19" s="25" t="n">
        <v>2</v>
      </c>
    </row>
    <row r="20" customFormat="false" ht="15" hidden="false" customHeight="false" outlineLevel="0" collapsed="false">
      <c r="A20" s="20" t="s">
        <v>922</v>
      </c>
      <c r="B20" s="25" t="n">
        <v>25</v>
      </c>
      <c r="C20" s="25" t="n">
        <v>5</v>
      </c>
      <c r="D20" s="25" t="n">
        <v>4</v>
      </c>
      <c r="E20" s="25" t="n">
        <v>3</v>
      </c>
    </row>
    <row r="21" customFormat="false" ht="15" hidden="false" customHeight="false" outlineLevel="0" collapsed="false">
      <c r="A21" s="20" t="s">
        <v>923</v>
      </c>
      <c r="B21" s="25" t="n">
        <v>15</v>
      </c>
      <c r="C21" s="25" t="n">
        <v>5</v>
      </c>
      <c r="D21" s="25" t="n">
        <v>4</v>
      </c>
      <c r="E21" s="25" t="n">
        <v>3</v>
      </c>
    </row>
    <row r="22" customFormat="false" ht="15" hidden="false" customHeight="false" outlineLevel="0" collapsed="false">
      <c r="A22" s="20" t="s">
        <v>924</v>
      </c>
      <c r="B22" s="25" t="n">
        <v>15</v>
      </c>
      <c r="C22" s="25" t="n">
        <v>5</v>
      </c>
      <c r="D22" s="25" t="n">
        <v>5</v>
      </c>
      <c r="E22" s="25" t="n">
        <v>4</v>
      </c>
    </row>
    <row r="23" customFormat="false" ht="15" hidden="false" customHeight="false" outlineLevel="0" collapsed="false">
      <c r="A23" s="20" t="s">
        <v>925</v>
      </c>
      <c r="B23" s="25" t="n">
        <v>15</v>
      </c>
      <c r="C23" s="25" t="n">
        <v>5</v>
      </c>
      <c r="D23" s="25" t="n">
        <v>3</v>
      </c>
      <c r="E23" s="25" t="n">
        <v>2</v>
      </c>
    </row>
    <row r="24" customFormat="false" ht="15" hidden="false" customHeight="false" outlineLevel="0" collapsed="false">
      <c r="A24" s="26" t="s">
        <v>892</v>
      </c>
      <c r="B24" s="27" t="n">
        <f aca="false">SUM(B19:B23)</f>
        <v>100</v>
      </c>
    </row>
    <row r="25" customFormat="false" ht="15" hidden="false" customHeight="false" outlineLevel="0" collapsed="false">
      <c r="A25" s="26" t="s">
        <v>893</v>
      </c>
      <c r="C25" s="28" t="n">
        <f aca="false">SUMPRODUCT($B$19:$B$23,C19:C23)/SUM($B$19:$B$23)*20</f>
        <v>100</v>
      </c>
      <c r="D25" s="28" t="n">
        <f aca="false">SUMPRODUCT($B$19:$B$23,D19:D23)/SUM($B$19:$B$23)*20</f>
        <v>80</v>
      </c>
      <c r="E25" s="28" t="n">
        <f aca="false">SUMPRODUCT($B$19:$B$23,E19:E23)/SUM($B$19:$B$23)*20</f>
        <v>54</v>
      </c>
    </row>
    <row r="26" customFormat="false" ht="15" hidden="false" customHeight="false" outlineLevel="0" collapsed="false">
      <c r="A26" s="26" t="s">
        <v>926</v>
      </c>
      <c r="C26" s="28" t="n">
        <f aca="false">(SUMPRODUCT($B$19:$B$23,C19:C23)-$B$23*C23)/(SUM($B$19:$B$23)-$B$23)*20</f>
        <v>100</v>
      </c>
      <c r="D26" s="28" t="n">
        <f aca="false">(SUMPRODUCT($B$19:$B$23,D19:D23)-$B$23*D23)/(SUM($B$19:$B$23)-$B$23)*20</f>
        <v>83.5294117647059</v>
      </c>
      <c r="E26" s="28" t="n">
        <f aca="false">(SUMPRODUCT($B$19:$B$23,E19:E23)-$B$23*E23)/(SUM($B$19:$B$23)-$B$23)*20</f>
        <v>56.4705882352941</v>
      </c>
    </row>
    <row r="27" customFormat="false" ht="15" hidden="false" customHeight="false" outlineLevel="0" collapsed="false">
      <c r="A27" s="26" t="s">
        <v>916</v>
      </c>
      <c r="C27" s="30" t="str">
        <f aca="false">INDEX($C$18:$E$18,MATCH(MAX(C26:E26),C26:E26,0))</f>
        <v>PostgreSQL</v>
      </c>
      <c r="D27" s="30"/>
    </row>
  </sheetData>
  <mergeCells count="3">
    <mergeCell ref="A2:F2"/>
    <mergeCell ref="C15:D15"/>
    <mergeCell ref="C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2"/>
    <col collapsed="false" customWidth="true" hidden="false" outlineLevel="0" max="3" min="3" style="0" width="28"/>
    <col collapsed="false" customWidth="true" hidden="false" outlineLevel="0" max="4" min="4" style="0" width="32"/>
    <col collapsed="false" customWidth="true" hidden="false" outlineLevel="0" max="5" min="5" style="0" width="30"/>
  </cols>
  <sheetData>
    <row r="1" customFormat="false" ht="17.35" hidden="false" customHeight="false" outlineLevel="0" collapsed="false">
      <c r="A1" s="1" t="s">
        <v>927</v>
      </c>
    </row>
    <row r="2" customFormat="false" ht="39.75" hidden="false" customHeight="true" outlineLevel="0" collapsed="false">
      <c r="A2" s="18" t="s">
        <v>928</v>
      </c>
      <c r="B2" s="18"/>
      <c r="C2" s="18"/>
      <c r="D2" s="18"/>
      <c r="E2" s="18"/>
      <c r="F2" s="18"/>
      <c r="G2" s="18"/>
    </row>
    <row r="4" customFormat="false" ht="15" hidden="false" customHeight="false" outlineLevel="0" collapsed="false">
      <c r="A4" s="3" t="s">
        <v>929</v>
      </c>
      <c r="B4" s="3" t="s">
        <v>930</v>
      </c>
      <c r="C4" s="3" t="s">
        <v>931</v>
      </c>
      <c r="D4" s="3" t="s">
        <v>932</v>
      </c>
    </row>
    <row r="5" customFormat="false" ht="15" hidden="false" customHeight="false" outlineLevel="0" collapsed="false">
      <c r="A5" s="20" t="s">
        <v>933</v>
      </c>
      <c r="B5" s="32" t="n">
        <v>15</v>
      </c>
      <c r="C5" s="21" t="s">
        <v>934</v>
      </c>
      <c r="D5" s="20" t="s">
        <v>935</v>
      </c>
    </row>
    <row r="6" customFormat="false" ht="15" hidden="false" customHeight="false" outlineLevel="0" collapsed="false">
      <c r="A6" s="20" t="s">
        <v>936</v>
      </c>
      <c r="B6" s="32" t="n">
        <v>15</v>
      </c>
      <c r="C6" s="21" t="s">
        <v>937</v>
      </c>
      <c r="D6" s="20" t="s">
        <v>935</v>
      </c>
    </row>
    <row r="7" customFormat="false" ht="15" hidden="false" customHeight="false" outlineLevel="0" collapsed="false">
      <c r="A7" s="20" t="s">
        <v>938</v>
      </c>
      <c r="B7" s="32" t="n">
        <v>20</v>
      </c>
      <c r="C7" s="21" t="s">
        <v>939</v>
      </c>
      <c r="D7" s="20" t="s">
        <v>935</v>
      </c>
    </row>
    <row r="8" customFormat="false" ht="15" hidden="false" customHeight="false" outlineLevel="0" collapsed="false">
      <c r="A8" s="20" t="s">
        <v>940</v>
      </c>
      <c r="B8" s="32" t="n">
        <v>5000</v>
      </c>
      <c r="C8" s="21" t="s">
        <v>941</v>
      </c>
      <c r="D8" s="20" t="s">
        <v>935</v>
      </c>
    </row>
    <row r="9" customFormat="false" ht="15" hidden="false" customHeight="false" outlineLevel="0" collapsed="false">
      <c r="A9" s="26" t="s">
        <v>942</v>
      </c>
      <c r="B9" s="33" t="n">
        <f aca="false">B5*B6*B7/60</f>
        <v>75</v>
      </c>
      <c r="C9" s="21" t="s">
        <v>943</v>
      </c>
      <c r="D9" s="20" t="s">
        <v>944</v>
      </c>
    </row>
    <row r="10" customFormat="false" ht="15" hidden="false" customHeight="false" outlineLevel="0" collapsed="false">
      <c r="A10" s="26" t="s">
        <v>945</v>
      </c>
      <c r="B10" s="34" t="n">
        <f aca="false">B9*B8</f>
        <v>375000</v>
      </c>
      <c r="C10" s="21" t="s">
        <v>946</v>
      </c>
      <c r="D10" s="20" t="s">
        <v>947</v>
      </c>
    </row>
    <row r="11" customFormat="false" ht="15" hidden="false" customHeight="false" outlineLevel="0" collapsed="false">
      <c r="A11" s="20" t="s">
        <v>948</v>
      </c>
      <c r="B11" s="32" t="n">
        <v>42500</v>
      </c>
      <c r="C11" s="21" t="s">
        <v>946</v>
      </c>
      <c r="D11" s="20" t="s">
        <v>949</v>
      </c>
    </row>
    <row r="12" customFormat="false" ht="15" hidden="false" customHeight="false" outlineLevel="0" collapsed="false">
      <c r="A12" s="20" t="s">
        <v>950</v>
      </c>
      <c r="B12" s="35" t="n">
        <f aca="false">SUM(B20:B26)</f>
        <v>3932000</v>
      </c>
      <c r="C12" s="21" t="s">
        <v>941</v>
      </c>
      <c r="D12" s="20" t="s">
        <v>951</v>
      </c>
    </row>
    <row r="13" customFormat="false" ht="22.35" hidden="false" customHeight="false" outlineLevel="0" collapsed="false">
      <c r="A13" s="20" t="s">
        <v>952</v>
      </c>
      <c r="B13" s="32" t="n">
        <v>3506000</v>
      </c>
      <c r="C13" s="21" t="s">
        <v>941</v>
      </c>
      <c r="D13" s="20" t="s">
        <v>953</v>
      </c>
    </row>
    <row r="14" customFormat="false" ht="15" hidden="false" customHeight="false" outlineLevel="0" collapsed="false">
      <c r="A14" s="26" t="s">
        <v>954</v>
      </c>
      <c r="B14" s="34" t="n">
        <f aca="false">B12-B13</f>
        <v>426000</v>
      </c>
      <c r="C14" s="21" t="s">
        <v>941</v>
      </c>
      <c r="D14" s="20" t="s">
        <v>955</v>
      </c>
    </row>
    <row r="17" customFormat="false" ht="15" hidden="false" customHeight="false" outlineLevel="0" collapsed="false">
      <c r="A17" s="3" t="s">
        <v>956</v>
      </c>
      <c r="B17" s="3" t="s">
        <v>957</v>
      </c>
      <c r="C17" s="3"/>
      <c r="D17" s="3"/>
    </row>
    <row r="19" customFormat="false" ht="15" hidden="false" customHeight="false" outlineLevel="0" collapsed="false">
      <c r="A19" s="36"/>
    </row>
    <row r="20" customFormat="false" ht="15" hidden="false" customHeight="false" outlineLevel="0" collapsed="false">
      <c r="A20" s="20" t="s">
        <v>958</v>
      </c>
      <c r="B20" s="32" t="n">
        <v>0</v>
      </c>
    </row>
    <row r="21" customFormat="false" ht="15" hidden="false" customHeight="false" outlineLevel="0" collapsed="false">
      <c r="A21" s="20" t="s">
        <v>959</v>
      </c>
      <c r="B21" s="32" t="n">
        <v>0</v>
      </c>
    </row>
    <row r="22" customFormat="false" ht="15" hidden="false" customHeight="false" outlineLevel="0" collapsed="false">
      <c r="A22" s="20" t="s">
        <v>960</v>
      </c>
      <c r="B22" s="32" t="n">
        <v>80000</v>
      </c>
    </row>
    <row r="23" customFormat="false" ht="15" hidden="false" customHeight="false" outlineLevel="0" collapsed="false">
      <c r="A23" s="20" t="s">
        <v>961</v>
      </c>
      <c r="B23" s="32" t="n">
        <v>3600000</v>
      </c>
    </row>
    <row r="24" customFormat="false" ht="15" hidden="false" customHeight="false" outlineLevel="0" collapsed="false">
      <c r="A24" s="20" t="s">
        <v>962</v>
      </c>
      <c r="B24" s="32" t="n">
        <v>72000</v>
      </c>
    </row>
    <row r="25" customFormat="false" ht="15" hidden="false" customHeight="false" outlineLevel="0" collapsed="false">
      <c r="A25" s="20" t="s">
        <v>963</v>
      </c>
      <c r="B25" s="32" t="n">
        <v>30000</v>
      </c>
    </row>
    <row r="26" customFormat="false" ht="15" hidden="false" customHeight="false" outlineLevel="0" collapsed="false">
      <c r="A26" s="20" t="s">
        <v>964</v>
      </c>
      <c r="B26" s="32" t="n">
        <v>150000</v>
      </c>
    </row>
    <row r="27" customFormat="false" ht="15" hidden="false" customHeight="false" outlineLevel="0" collapsed="false">
      <c r="A27" s="26" t="s">
        <v>18</v>
      </c>
      <c r="B27" s="34" t="n">
        <f aca="false">SUM(B20:B26)</f>
        <v>3932000</v>
      </c>
    </row>
    <row r="30" customFormat="false" ht="48" hidden="false" customHeight="true" outlineLevel="0" collapsed="false">
      <c r="A30" s="3" t="s">
        <v>965</v>
      </c>
      <c r="B30" s="3" t="s">
        <v>966</v>
      </c>
      <c r="C30" s="3" t="s">
        <v>967</v>
      </c>
      <c r="D30" s="3" t="s">
        <v>968</v>
      </c>
      <c r="E30" s="3" t="s">
        <v>969</v>
      </c>
    </row>
    <row r="31" customFormat="false" ht="15" hidden="false" customHeight="false" outlineLevel="0" collapsed="false">
      <c r="A31" s="37" t="n">
        <v>1</v>
      </c>
      <c r="B31" s="35" t="n">
        <f aca="false">$B$10*A31-$B$11</f>
        <v>332500</v>
      </c>
      <c r="C31" s="31" t="n">
        <f aca="false">IF(B31&gt;0,$B$12/B31,"No se recupera")</f>
        <v>11.8255639097744</v>
      </c>
      <c r="D31" s="31" t="n">
        <f aca="false">IF(B31&gt;0,$B$13/B31,"No se recupera")</f>
        <v>10.5443609022556</v>
      </c>
      <c r="E31" s="35" t="n">
        <f aca="false">B31*60-$B$12</f>
        <v>16018000</v>
      </c>
    </row>
    <row r="32" customFormat="false" ht="15" hidden="false" customHeight="false" outlineLevel="0" collapsed="false">
      <c r="A32" s="37" t="n">
        <v>0.75</v>
      </c>
      <c r="B32" s="35" t="n">
        <f aca="false">$B$10*A32-$B$11</f>
        <v>238750</v>
      </c>
      <c r="C32" s="31" t="n">
        <f aca="false">IF(B32&gt;0,$B$12/B32,"No se recupera")</f>
        <v>16.469109947644</v>
      </c>
      <c r="D32" s="31" t="n">
        <f aca="false">IF(B32&gt;0,$B$13/B32,"No se recupera")</f>
        <v>14.6848167539267</v>
      </c>
      <c r="E32" s="35" t="n">
        <f aca="false">B32*60-$B$12</f>
        <v>10393000</v>
      </c>
    </row>
    <row r="33" customFormat="false" ht="15" hidden="false" customHeight="false" outlineLevel="0" collapsed="false">
      <c r="A33" s="37" t="n">
        <v>0.5</v>
      </c>
      <c r="B33" s="35" t="n">
        <f aca="false">$B$10*A33-$B$11</f>
        <v>145000</v>
      </c>
      <c r="C33" s="31" t="n">
        <f aca="false">IF(B33&gt;0,$B$12/B33,"No se recupera")</f>
        <v>27.1172413793103</v>
      </c>
      <c r="D33" s="31" t="n">
        <f aca="false">IF(B33&gt;0,$B$13/B33,"No se recupera")</f>
        <v>24.1793103448276</v>
      </c>
      <c r="E33" s="35" t="n">
        <f aca="false">B33*60-$B$12</f>
        <v>4768000</v>
      </c>
    </row>
    <row r="34" customFormat="false" ht="15" hidden="false" customHeight="false" outlineLevel="0" collapsed="false">
      <c r="A34" s="37" t="n">
        <v>0.25</v>
      </c>
      <c r="B34" s="35" t="n">
        <f aca="false">$B$10*A34-$B$11</f>
        <v>51250</v>
      </c>
      <c r="C34" s="31" t="n">
        <f aca="false">IF(B34&gt;0,$B$12/B34,"No se recupera")</f>
        <v>76.7219512195122</v>
      </c>
      <c r="D34" s="31" t="n">
        <f aca="false">IF(B34&gt;0,$B$13/B34,"No se recupera")</f>
        <v>68.409756097561</v>
      </c>
      <c r="E34" s="35" t="n">
        <f aca="false">B34*60-$B$12</f>
        <v>-857000</v>
      </c>
    </row>
    <row r="36" customFormat="false" ht="23.85" hidden="false" customHeight="false" outlineLevel="0" collapsed="false">
      <c r="A36" s="26" t="s">
        <v>970</v>
      </c>
      <c r="B36" s="38" t="n">
        <f aca="false">($B$12/60+$B$11)/$B$10</f>
        <v>0.288088888888889</v>
      </c>
    </row>
    <row r="37" customFormat="false" ht="23.85" hidden="false" customHeight="false" outlineLevel="0" collapsed="false">
      <c r="A37" s="26" t="s">
        <v>971</v>
      </c>
      <c r="B37" s="38" t="n">
        <f aca="false">($B$12/36+$B$11)/$B$10</f>
        <v>0.404592592592593</v>
      </c>
    </row>
    <row r="39" customFormat="false" ht="42" hidden="false" customHeight="true" outlineLevel="0" collapsed="false">
      <c r="A39" s="18" t="s">
        <v>972</v>
      </c>
      <c r="B39" s="18"/>
      <c r="C39" s="18"/>
      <c r="D39" s="18"/>
      <c r="E39" s="18"/>
    </row>
  </sheetData>
  <mergeCells count="2">
    <mergeCell ref="A2:G2"/>
    <mergeCell ref="A39:E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2026-10-11T21:33:42Z</dcterms:created>
  <dc:creator>openpyxl</dc:creator>
  <dc:description/>
  <dc:language>en-US</dc:language>
  <cp:lastModifiedBy/>
  <dcterms:modified xsi:type="dcterms:W3CDTF">2026-10-11T21:33:43Z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